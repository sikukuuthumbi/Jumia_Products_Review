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SIKUKUU\Documents\Data Science, Analytics and AI\Microsoft Excel Basics\Week 1 Assignment\"/>
    </mc:Choice>
  </mc:AlternateContent>
  <xr:revisionPtr revIDLastSave="0" documentId="8_{02B66C32-17BE-40A5-9F59-E39F93473D34}" xr6:coauthVersionLast="36" xr6:coauthVersionMax="36" xr10:uidLastSave="{00000000-0000-0000-0000-000000000000}"/>
  <bookViews>
    <workbookView xWindow="0" yWindow="0" windowWidth="20490" windowHeight="7545" activeTab="1" xr2:uid="{00000000-000D-0000-FFFF-FFFF00000000}"/>
  </bookViews>
  <sheets>
    <sheet name="Dirty_Jumia_Dataset" sheetId="2" r:id="rId1"/>
    <sheet name="Cleaned_Jumia_dataset" sheetId="1" r:id="rId2"/>
    <sheet name="Enriched_Jumia_Dataset" sheetId="3" r:id="rId3"/>
    <sheet name="Dashboard" sheetId="13" r:id="rId4"/>
    <sheet name="Product Perfomance" sheetId="14" r:id="rId5"/>
    <sheet name="Product categories" sheetId="16" r:id="rId6"/>
    <sheet name="Discount vs Reviews" sheetId="5" r:id="rId7"/>
    <sheet name="Rating vs Review" sheetId="6" r:id="rId8"/>
    <sheet name="Top 10 product rankings" sheetId="15" r:id="rId9"/>
    <sheet name="Top 5(Highest rating)" sheetId="7" r:id="rId10"/>
    <sheet name="Least rating" sheetId="10" r:id="rId11"/>
    <sheet name="Top 10(Highest Discount)" sheetId="11" r:id="rId12"/>
    <sheet name="Top 10(Most Reviews)" sheetId="12" r:id="rId13"/>
  </sheets>
  <definedNames>
    <definedName name="_xlnm._FilterDatabase" localSheetId="1" hidden="1">Cleaned_Jumia_dataset!$A$1:$F$113</definedName>
    <definedName name="Slicer_Discount">#N/A</definedName>
    <definedName name="Slicer_Discount_Category">#N/A</definedName>
    <definedName name="Slicer_Product">#N/A</definedName>
    <definedName name="Slicer_Product1">#N/A</definedName>
    <definedName name="Slicer_Product2">#N/A</definedName>
    <definedName name="Slicer_Rating">#N/A</definedName>
    <definedName name="Slicer_Rating_Category">#N/A</definedName>
    <definedName name="Slicer_Rating1">#N/A</definedName>
  </definedNames>
  <calcPr calcId="18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15" i="3" l="1"/>
  <c r="E115" i="3"/>
  <c r="H115" i="3"/>
  <c r="L20" i="3" l="1"/>
  <c r="L19" i="3"/>
  <c r="L18" i="3"/>
  <c r="L14" i="3"/>
  <c r="L15" i="3"/>
  <c r="L13" i="3"/>
  <c r="L10" i="3" l="1"/>
  <c r="L9" i="3"/>
  <c r="L6" i="3"/>
  <c r="L5" i="3"/>
  <c r="L4" i="3"/>
  <c r="L3"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2" i="3"/>
  <c r="F2" i="3" l="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alcChain>
</file>

<file path=xl/sharedStrings.xml><?xml version="1.0" encoding="utf-8"?>
<sst xmlns="http://schemas.openxmlformats.org/spreadsheetml/2006/main" count="1104" uniqueCount="382">
  <si>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</si>
  <si>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</si>
  <si>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</si>
  <si>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</si>
  <si>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</si>
  <si>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</si>
  <si>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</si>
  <si>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</si>
  <si>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</si>
  <si>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</si>
  <si>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</si>
  <si>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</si>
  <si>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</si>
  <si>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</si>
  <si>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</si>
  <si>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</si>
  <si>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</si>
  <si>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</si>
  <si>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</si>
  <si>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</si>
  <si>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</si>
  <si>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</si>
  <si>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</si>
  <si>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</si>
  <si>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</si>
  <si>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</si>
  <si>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</si>
  <si>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</si>
  <si>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</si>
  <si>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</si>
  <si>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</si>
  <si>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</si>
  <si>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</si>
  <si>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</si>
  <si>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</si>
  <si>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</si>
  <si>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</si>
  <si>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</si>
  <si>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</si>
  <si>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</si>
  <si>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</si>
  <si>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</si>
  <si>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</si>
  <si>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</si>
  <si>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</si>
  <si>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</si>
  <si>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</si>
  <si>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</si>
  <si>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</si>
  <si>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</si>
  <si>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</si>
  <si>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</si>
  <si>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</si>
  <si>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</si>
  <si>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</si>
  <si>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</si>
  <si>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</si>
  <si>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</si>
  <si>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</si>
  <si>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</si>
  <si>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</si>
  <si>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</si>
  <si>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</si>
  <si>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</si>
  <si>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</si>
  <si>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</si>
  <si>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</si>
  <si>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</si>
  <si>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</si>
  <si>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</si>
  <si>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</si>
  <si>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</si>
  <si>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</si>
  <si>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</si>
  <si>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</si>
  <si>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</si>
  <si>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</si>
  <si>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</si>
  <si>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</si>
  <si>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</si>
  <si>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</si>
  <si>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</si>
  <si>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</si>
  <si>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</si>
  <si>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</si>
  <si>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</si>
  <si>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</si>
  <si>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</si>
  <si>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</si>
  <si>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</si>
  <si>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</si>
  <si>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</si>
  <si>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</si>
  <si>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</si>
  <si>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</si>
  <si>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</si>
  <si>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</si>
  <si>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</si>
  <si>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</si>
  <si>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</si>
  <si>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</si>
  <si>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</si>
  <si>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</si>
  <si>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</si>
  <si>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</si>
  <si>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</si>
  <si>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</si>
  <si>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</si>
  <si>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</si>
  <si>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</si>
  <si>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</si>
  <si>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</si>
  <si>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</si>
  <si>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</si>
  <si>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Old price</t>
  </si>
  <si>
    <t>old price</t>
  </si>
  <si>
    <t>Ratingd</t>
  </si>
  <si>
    <t>KSh 950</t>
  </si>
  <si>
    <t>KSh 1,525</t>
  </si>
  <si>
    <t>4.5 out of 5</t>
  </si>
  <si>
    <t>KSh 527</t>
  </si>
  <si>
    <t>KSh 999</t>
  </si>
  <si>
    <t>4.1 out of 5</t>
  </si>
  <si>
    <t>KSh 2,199</t>
  </si>
  <si>
    <t>KSh 2,923</t>
  </si>
  <si>
    <t>4.6 out of 5</t>
  </si>
  <si>
    <t>KSh 1,580</t>
  </si>
  <si>
    <t>KSh 2,499</t>
  </si>
  <si>
    <t>4.7 out of 5</t>
  </si>
  <si>
    <t>KSh 1,740</t>
  </si>
  <si>
    <t>KSh 2,356</t>
  </si>
  <si>
    <t>4.8 out of 5</t>
  </si>
  <si>
    <t>KSh 2,999</t>
  </si>
  <si>
    <t>KSh 3,290</t>
  </si>
  <si>
    <t>4 out of 5</t>
  </si>
  <si>
    <t>KSh 2,319</t>
  </si>
  <si>
    <t>KSh 3,032</t>
  </si>
  <si>
    <t>KSh 988</t>
  </si>
  <si>
    <t>KSh 1,274</t>
  </si>
  <si>
    <t>KSh 2,800</t>
  </si>
  <si>
    <t>KSh 1,600</t>
  </si>
  <si>
    <t>KSh 2,929</t>
  </si>
  <si>
    <t>3.8 out of 5</t>
  </si>
  <si>
    <t>KSh 799</t>
  </si>
  <si>
    <t>KSh 990</t>
  </si>
  <si>
    <t>KSh 1,500</t>
  </si>
  <si>
    <t>KSh 552</t>
  </si>
  <si>
    <t>KSh 1,035</t>
  </si>
  <si>
    <t>KSh 501</t>
  </si>
  <si>
    <t>KSh 860</t>
  </si>
  <si>
    <t>KSh 1,680</t>
  </si>
  <si>
    <t>4.2 out of 5</t>
  </si>
  <si>
    <t>KSh 332</t>
  </si>
  <si>
    <t>KSh 684</t>
  </si>
  <si>
    <t>5 out of 5</t>
  </si>
  <si>
    <t>KSh 195</t>
  </si>
  <si>
    <t>KSh 360</t>
  </si>
  <si>
    <t>KSh 2,025</t>
  </si>
  <si>
    <t>KSh 3,971</t>
  </si>
  <si>
    <t>KSh 3,699</t>
  </si>
  <si>
    <t>KSh 998</t>
  </si>
  <si>
    <t>KSh 1,966</t>
  </si>
  <si>
    <t>KSh 38</t>
  </si>
  <si>
    <t>KSh 80</t>
  </si>
  <si>
    <t>3.3 out of 5</t>
  </si>
  <si>
    <t>KSh 1,860</t>
  </si>
  <si>
    <t>KSh 3,220</t>
  </si>
  <si>
    <t>KSh 880</t>
  </si>
  <si>
    <t>KSh 1,350</t>
  </si>
  <si>
    <t>KSh 1,650</t>
  </si>
  <si>
    <t>KSh 2,150</t>
  </si>
  <si>
    <t>4.4 out of 5</t>
  </si>
  <si>
    <t>KSh 2,048</t>
  </si>
  <si>
    <t>KSh 4,500</t>
  </si>
  <si>
    <t>4.3 out of 5</t>
  </si>
  <si>
    <t>KSh 420</t>
  </si>
  <si>
    <t>KSh 647</t>
  </si>
  <si>
    <t>KSh 2,880</t>
  </si>
  <si>
    <t>KSh 3,520</t>
  </si>
  <si>
    <t>KSh 1,990</t>
  </si>
  <si>
    <t>KSh 1,758</t>
  </si>
  <si>
    <t>KSh 2,200</t>
  </si>
  <si>
    <t>KSh 4,080</t>
  </si>
  <si>
    <t>KSh 185</t>
  </si>
  <si>
    <t>KSh 382</t>
  </si>
  <si>
    <t>KSh 980</t>
  </si>
  <si>
    <t>KSh 1,490</t>
  </si>
  <si>
    <t>KSh 1,820</t>
  </si>
  <si>
    <t>KSh 3,490</t>
  </si>
  <si>
    <t>KSh 1,940</t>
  </si>
  <si>
    <t>KSh 2,650</t>
  </si>
  <si>
    <t>KSh 1,980</t>
  </si>
  <si>
    <t>KSh 2,699</t>
  </si>
  <si>
    <t>KSh 1,620</t>
  </si>
  <si>
    <t>KSh 2,690</t>
  </si>
  <si>
    <t>KSh 171</t>
  </si>
  <si>
    <t>KSh 389</t>
  </si>
  <si>
    <t>KSh 656</t>
  </si>
  <si>
    <t>KSh 1,620 - KSh 1,980</t>
  </si>
  <si>
    <t>KSh 2,200 - KSh 3,200</t>
  </si>
  <si>
    <t>KSh 2,750</t>
  </si>
  <si>
    <t>KSh 4,471</t>
  </si>
  <si>
    <t>KSh 475</t>
  </si>
  <si>
    <t>KSh 931</t>
  </si>
  <si>
    <t>KSh 238</t>
  </si>
  <si>
    <t>KSh 476</t>
  </si>
  <si>
    <t>KSh 610</t>
  </si>
  <si>
    <t>KSh 1,060</t>
  </si>
  <si>
    <t>KSh 2,132</t>
  </si>
  <si>
    <t>KSh 2,169</t>
  </si>
  <si>
    <t>KSh 2,000</t>
  </si>
  <si>
    <t>KSh 1,190</t>
  </si>
  <si>
    <t>KSh 1,785</t>
  </si>
  <si>
    <t>KSh 671</t>
  </si>
  <si>
    <t>KSh 1,316</t>
  </si>
  <si>
    <t>KSh 1,200</t>
  </si>
  <si>
    <t>KSh 1,950</t>
  </si>
  <si>
    <t>KSh 199</t>
  </si>
  <si>
    <t>KSh 504</t>
  </si>
  <si>
    <t>KSh 299</t>
  </si>
  <si>
    <t>KSh 600</t>
  </si>
  <si>
    <t>KSh 1,660</t>
  </si>
  <si>
    <t>KSh 1,699</t>
  </si>
  <si>
    <t>KSh 384</t>
  </si>
  <si>
    <t>KSh 1,459</t>
  </si>
  <si>
    <t>KSh 1,499</t>
  </si>
  <si>
    <t>KSh 1,343</t>
  </si>
  <si>
    <t>KSh 499</t>
  </si>
  <si>
    <t>KSh 900</t>
  </si>
  <si>
    <t>KSh 699</t>
  </si>
  <si>
    <t>KSh 1,567</t>
  </si>
  <si>
    <t>KSh 2,799</t>
  </si>
  <si>
    <t>KSh 3,810</t>
  </si>
  <si>
    <t>KSh 399</t>
  </si>
  <si>
    <t>KSh 896</t>
  </si>
  <si>
    <t>KSh 2,170</t>
  </si>
  <si>
    <t>KSh 2,500</t>
  </si>
  <si>
    <t>2.5 out of 5</t>
  </si>
  <si>
    <t>KSh 458</t>
  </si>
  <si>
    <t>KSh 986</t>
  </si>
  <si>
    <t>3 out of 5</t>
  </si>
  <si>
    <t>KSh 2,115</t>
  </si>
  <si>
    <t>KSh 4,700</t>
  </si>
  <si>
    <t>2.1 out of 5</t>
  </si>
  <si>
    <t>KSh 445</t>
  </si>
  <si>
    <t>KSh 873</t>
  </si>
  <si>
    <t>2.8 out of 5</t>
  </si>
  <si>
    <t>KSh 325</t>
  </si>
  <si>
    <t>KSh 680</t>
  </si>
  <si>
    <t>2.7 out of 5</t>
  </si>
  <si>
    <t>KSh 1,220</t>
  </si>
  <si>
    <t>KSh 1,555</t>
  </si>
  <si>
    <t>2.9 out of 5</t>
  </si>
  <si>
    <t>KSh 1,814</t>
  </si>
  <si>
    <t>2.2 out of 5</t>
  </si>
  <si>
    <t>KSh 1,000</t>
  </si>
  <si>
    <t>2.3 out of 5</t>
  </si>
  <si>
    <t>KSh 3,750</t>
  </si>
  <si>
    <t>KSh 6,143</t>
  </si>
  <si>
    <t>KSh 700</t>
  </si>
  <si>
    <t>2.6 out of 5</t>
  </si>
  <si>
    <t>KSh 2,300</t>
  </si>
  <si>
    <t>KSh 3,240</t>
  </si>
  <si>
    <t>KSh 345</t>
  </si>
  <si>
    <t>KSh 602</t>
  </si>
  <si>
    <t>KSh 509</t>
  </si>
  <si>
    <t>KSh 899</t>
  </si>
  <si>
    <t>KSh 968</t>
  </si>
  <si>
    <t>KSh 1,570</t>
  </si>
  <si>
    <t>KSh 2,988</t>
  </si>
  <si>
    <t>KSh 790</t>
  </si>
  <si>
    <t>KSh 1,485</t>
  </si>
  <si>
    <t>KSh 690</t>
  </si>
  <si>
    <t>KSh 1,732</t>
  </si>
  <si>
    <t>KSh 1,799</t>
  </si>
  <si>
    <t>KSh 230</t>
  </si>
  <si>
    <t>KSh 450</t>
  </si>
  <si>
    <t>KSh 1,189</t>
  </si>
  <si>
    <t>KSh 979</t>
  </si>
  <si>
    <t>KSh 1,920</t>
  </si>
  <si>
    <t>KSh 1,460</t>
  </si>
  <si>
    <t>KSh 2,290</t>
  </si>
  <si>
    <t>KSh 1,666</t>
  </si>
  <si>
    <t>KSh 330</t>
  </si>
  <si>
    <t>KSh 176</t>
  </si>
  <si>
    <t>KSh 1,466</t>
  </si>
  <si>
    <t>KSh 274</t>
  </si>
  <si>
    <t>KSh 537</t>
  </si>
  <si>
    <t>KSh 657</t>
  </si>
  <si>
    <t>KSh 1,288</t>
  </si>
  <si>
    <t>KSh 1,468</t>
  </si>
  <si>
    <t>KSh 630</t>
  </si>
  <si>
    <t>KSh 1,100</t>
  </si>
  <si>
    <t>KSh 850</t>
  </si>
  <si>
    <t>KSh 1,700</t>
  </si>
  <si>
    <t>KSh 1,300</t>
  </si>
  <si>
    <t>KSh 105</t>
  </si>
  <si>
    <t>KSh 200</t>
  </si>
  <si>
    <t>KSh 2,400</t>
  </si>
  <si>
    <t>KSh 1,526</t>
  </si>
  <si>
    <t>KSh 1,462</t>
  </si>
  <si>
    <t>KSh 248</t>
  </si>
  <si>
    <t>KSh 486</t>
  </si>
  <si>
    <t>KSh 3,546</t>
  </si>
  <si>
    <t>KSh 525</t>
  </si>
  <si>
    <t>KSh 1,029</t>
  </si>
  <si>
    <t>KSh 1,080</t>
  </si>
  <si>
    <t>KSh 1,874</t>
  </si>
  <si>
    <t>KSh 3,640</t>
  </si>
  <si>
    <t>KSh 4,588</t>
  </si>
  <si>
    <t>KSh 1,420</t>
  </si>
  <si>
    <t>KSh 2,420</t>
  </si>
  <si>
    <t>KSh 1,875</t>
  </si>
  <si>
    <t>KSh 1,899</t>
  </si>
  <si>
    <t>KSh 198</t>
  </si>
  <si>
    <t>KSh 260</t>
  </si>
  <si>
    <t>KSh 1,150</t>
  </si>
  <si>
    <t>KSh 1,737</t>
  </si>
  <si>
    <t>KSh 1,810</t>
  </si>
  <si>
    <t>KSh 1,658</t>
  </si>
  <si>
    <t>KSh 1,768</t>
  </si>
  <si>
    <t>KSh 553</t>
  </si>
  <si>
    <t>2 out of 5</t>
  </si>
  <si>
    <t>KSh 169</t>
  </si>
  <si>
    <t>KSh 320</t>
  </si>
  <si>
    <t>Absolute Discount</t>
  </si>
  <si>
    <t>Discount Category</t>
  </si>
  <si>
    <t>Rating Category</t>
  </si>
  <si>
    <t>Overall averages</t>
  </si>
  <si>
    <t>Average current price</t>
  </si>
  <si>
    <t>Average old price</t>
  </si>
  <si>
    <t>Average rating</t>
  </si>
  <si>
    <t>Average discount %</t>
  </si>
  <si>
    <t>Pricing</t>
  </si>
  <si>
    <t>Most expensive</t>
  </si>
  <si>
    <t>Least expensive</t>
  </si>
  <si>
    <t>Average Discount category</t>
  </si>
  <si>
    <t>Low discount</t>
  </si>
  <si>
    <t>Medium discount</t>
  </si>
  <si>
    <t>High discount</t>
  </si>
  <si>
    <t>Average Rating Category</t>
  </si>
  <si>
    <t>Excellent</t>
  </si>
  <si>
    <t>Average</t>
  </si>
  <si>
    <t>Poor</t>
  </si>
  <si>
    <t>Row Labels</t>
  </si>
  <si>
    <t>Grand Total</t>
  </si>
  <si>
    <t>Count of Review</t>
  </si>
  <si>
    <t>Average of Rating</t>
  </si>
  <si>
    <t>(blank)</t>
  </si>
  <si>
    <t>Average of Absolute Discount</t>
  </si>
  <si>
    <t>Sum of Review</t>
  </si>
  <si>
    <t>Column Labels</t>
  </si>
  <si>
    <t>1 Total</t>
  </si>
  <si>
    <t>2 Total</t>
  </si>
  <si>
    <t>3 Total</t>
  </si>
  <si>
    <t>5 Total</t>
  </si>
  <si>
    <t>6 Total</t>
  </si>
  <si>
    <t>7 Total</t>
  </si>
  <si>
    <t>9 Total</t>
  </si>
  <si>
    <t>12 Total</t>
  </si>
  <si>
    <t>13 Total</t>
  </si>
  <si>
    <t>14 Total</t>
  </si>
  <si>
    <t>15 Total</t>
  </si>
  <si>
    <t>16 Total</t>
  </si>
  <si>
    <t>17 Total</t>
  </si>
  <si>
    <t>24 Total</t>
  </si>
  <si>
    <t>32 Total</t>
  </si>
  <si>
    <t>36 Total</t>
  </si>
  <si>
    <t>39 Total</t>
  </si>
  <si>
    <t>44 Total</t>
  </si>
  <si>
    <t>49 Total</t>
  </si>
  <si>
    <t>55 Total</t>
  </si>
  <si>
    <t>69 Total</t>
  </si>
  <si>
    <t>(blank) Total</t>
  </si>
  <si>
    <t>High Discount</t>
  </si>
  <si>
    <t>High Discount Total</t>
  </si>
  <si>
    <t>Medium Discount</t>
  </si>
  <si>
    <t>Medium Discount Total</t>
  </si>
  <si>
    <t>Low Discount</t>
  </si>
  <si>
    <t>Low Discount Total</t>
  </si>
  <si>
    <t>Count of Product</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</si>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</sst>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4" tint="-0.49998474074526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8" tint="0.79998168889431442"/>
        <bgColor theme="8"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8"/>
      </left>
      <right style="thin">
        <color theme="8"/>
      </right>
      <top style="thin">
        <color theme="8"/>
      </top>
      <bottom style="thin">
        <color theme="8"/>
      </bottom>
      <diagonal/>
    </border>
    <border>
      <left style="thin">
        <color theme="8"/>
      </left>
      <right/>
      <top style="thin">
        <color theme="8"/>
      </top>
      <bottom/>
      <diagonal/>
    </border>
    <border>
      <left style="thin">
        <color theme="8"/>
      </left>
      <right style="thin">
        <color theme="8"/>
      </right>
      <top style="thin">
        <color theme="8"/>
      </top>
      <bottom/>
      <diagonal/>
    </border>
    <border>
      <left style="thin">
        <color theme="8"/>
      </left>
      <right/>
      <top style="medium">
        <color theme="8"/>
      </top>
      <bottom/>
      <diagonal/>
    </border>
    <border>
      <left style="thin">
        <color theme="8"/>
      </left>
      <right style="thin">
        <color theme="8"/>
      </right>
      <top style="medium">
        <color theme="8"/>
      </top>
      <bottom/>
      <diagonal/>
    </border>
    <border>
      <left style="thin">
        <color theme="8"/>
      </left>
      <right/>
      <top style="thin">
        <color theme="8"/>
      </top>
      <bottom style="thin">
        <color theme="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7">
    <xf numFmtId="0" fontId="0" fillId="0" borderId="0" xfId="0"/>
    <xf numFmtId="9" fontId="0" fillId="0" borderId="0" xfId="0" applyNumberFormat="1"/>
    <xf numFmtId="3" fontId="0" fillId="0" borderId="0" xfId="0" applyNumberFormat="1"/>
    <xf numFmtId="0" fontId="18" fillId="33" borderId="0" xfId="0" applyFont="1" applyFill="1"/>
    <xf numFmtId="1" fontId="0" fillId="0" borderId="0" xfId="0" applyNumberFormat="1"/>
    <xf numFmtId="1" fontId="0" fillId="0" borderId="10" xfId="0" applyNumberFormat="1" applyFont="1" applyBorder="1"/>
    <xf numFmtId="0" fontId="18" fillId="33" borderId="11" xfId="0" applyFont="1" applyFill="1" applyBorder="1"/>
    <xf numFmtId="0" fontId="18" fillId="33" borderId="12" xfId="0" applyFont="1" applyFill="1" applyBorder="1"/>
    <xf numFmtId="0" fontId="0" fillId="34" borderId="13" xfId="0" applyFont="1" applyFill="1" applyBorder="1"/>
    <xf numFmtId="3" fontId="0" fillId="34" borderId="13" xfId="0" applyNumberFormat="1" applyFont="1" applyFill="1" applyBorder="1"/>
    <xf numFmtId="9" fontId="0" fillId="34" borderId="13" xfId="0" applyNumberFormat="1" applyFont="1" applyFill="1" applyBorder="1"/>
    <xf numFmtId="1" fontId="0" fillId="34" borderId="13" xfId="0" applyNumberFormat="1" applyFont="1" applyFill="1" applyBorder="1"/>
    <xf numFmtId="1" fontId="0" fillId="34" borderId="14" xfId="0" applyNumberFormat="1" applyFont="1" applyFill="1" applyBorder="1"/>
    <xf numFmtId="0" fontId="0" fillId="0" borderId="11" xfId="0" applyFont="1" applyBorder="1"/>
    <xf numFmtId="3" fontId="0" fillId="0" borderId="11" xfId="0" applyNumberFormat="1" applyFont="1" applyBorder="1"/>
    <xf numFmtId="9" fontId="0" fillId="0" borderId="11" xfId="0" applyNumberFormat="1" applyFont="1" applyBorder="1"/>
    <xf numFmtId="1" fontId="0" fillId="0" borderId="11" xfId="0" applyNumberFormat="1" applyFont="1" applyBorder="1"/>
    <xf numFmtId="1" fontId="0" fillId="0" borderId="12" xfId="0" applyNumberFormat="1" applyFont="1" applyBorder="1"/>
    <xf numFmtId="0" fontId="0" fillId="34" borderId="11" xfId="0" applyFont="1" applyFill="1" applyBorder="1"/>
    <xf numFmtId="3" fontId="0" fillId="34" borderId="11" xfId="0" applyNumberFormat="1" applyFont="1" applyFill="1" applyBorder="1"/>
    <xf numFmtId="9" fontId="0" fillId="34" borderId="11" xfId="0" applyNumberFormat="1" applyFont="1" applyFill="1" applyBorder="1"/>
    <xf numFmtId="1" fontId="0" fillId="34" borderId="11" xfId="0" applyNumberFormat="1" applyFont="1" applyFill="1" applyBorder="1"/>
    <xf numFmtId="1" fontId="0" fillId="34" borderId="12" xfId="0" applyNumberFormat="1" applyFont="1" applyFill="1" applyBorder="1"/>
    <xf numFmtId="0" fontId="0" fillId="0" borderId="15" xfId="0" applyFont="1" applyBorder="1"/>
    <xf numFmtId="3" fontId="0" fillId="0" borderId="15" xfId="0" applyNumberFormat="1" applyFont="1" applyBorder="1"/>
    <xf numFmtId="9" fontId="0" fillId="0" borderId="15" xfId="0" applyNumberFormat="1" applyFont="1" applyBorder="1"/>
    <xf numFmtId="1" fontId="0" fillId="0" borderId="15" xfId="0" applyNumberFormat="1" applyFont="1" applyBorder="1"/>
    <xf numFmtId="0" fontId="16" fillId="0" borderId="0" xfId="0" applyFont="1"/>
    <xf numFmtId="10" fontId="0" fillId="0" borderId="0" xfId="0" applyNumberFormat="1"/>
    <xf numFmtId="9" fontId="0" fillId="0" borderId="0" xfId="42" applyFont="1"/>
    <xf numFmtId="2"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0" borderId="0" xfId="0" applyNumberFormat="1"/>
    <xf numFmtId="0" fontId="0" fillId="0" borderId="0" xfId="0" applyAlignment="1">
      <alignment horizontal="left" indent="1"/>
    </xf>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font>
        <color rgb="FF9C5700"/>
      </font>
      <fill>
        <patternFill>
          <bgColor rgb="FFFFEB9C"/>
        </patternFill>
      </fill>
    </dxf>
    <dxf>
      <numFmt numFmtId="1" formatCode="0"/>
    </dxf>
    <dxf>
      <numFmt numFmtId="13" formatCode="0%"/>
    </dxf>
    <dxf>
      <font>
        <b/>
        <i val="0"/>
        <strike val="0"/>
        <condense val="0"/>
        <extend val="0"/>
        <outline val="0"/>
        <shadow val="0"/>
        <u val="none"/>
        <vertAlign val="baseline"/>
        <sz val="14"/>
        <color theme="4" tint="-0.499984740745262"/>
        <name val="Calibri"/>
        <family val="2"/>
        <scheme val="minor"/>
      </font>
      <fill>
        <patternFill patternType="solid">
          <fgColor indexed="64"/>
          <bgColor theme="4" tint="0.59999389629810485"/>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8.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7.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Enriched_Jumia_Dataset!$G$1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2057305336832897E-2"/>
                  <c:y val="-0.4060637212015164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Enriched_Jumia_Dataset!$E$2:$E$113</c:f>
              <c:numCache>
                <c:formatCode>0%</c:formatCode>
                <c:ptCount val="112"/>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Enriched_Jumia_Dataset!$G$2:$G$113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c:v>
                </c:pt>
                <c:pt idx="30">
                  <c:v>9</c:v>
                </c:pt>
                <c:pt idx="31">
                  <c:v>12</c:v>
                </c:pt>
                <c:pt idx="32">
                  <c:v>9</c:v>
                </c:pt>
                <c:pt idx="33">
                  <c:v>2</c:v>
                </c:pt>
                <c:pt idx="34">
                  <c:v>32</c:v>
                </c:pt>
                <c:pt idx="35">
                  <c:v>1</c:v>
                </c:pt>
                <c:pt idx="36">
                  <c:v>2</c:v>
                </c:pt>
                <c:pt idx="37">
                  <c:v>36</c:v>
                </c:pt>
                <c:pt idx="38">
                  <c:v>2</c:v>
                </c:pt>
                <c:pt idx="59">
                  <c:v>6</c:v>
                </c:pt>
                <c:pt idx="60">
                  <c:v>1</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0-AD18-4B2B-9EF0-E62A239DBD98}"/>
            </c:ext>
          </c:extLst>
        </c:ser>
        <c:dLbls>
          <c:showLegendKey val="0"/>
          <c:showVal val="0"/>
          <c:showCatName val="0"/>
          <c:showSerName val="0"/>
          <c:showPercent val="0"/>
          <c:showBubbleSize val="0"/>
        </c:dLbls>
        <c:axId val="725463504"/>
        <c:axId val="723894480"/>
      </c:scatterChart>
      <c:valAx>
        <c:axId val="7254635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94480"/>
        <c:crosses val="autoZero"/>
        <c:crossBetween val="midCat"/>
      </c:valAx>
      <c:valAx>
        <c:axId val="723894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63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[jumia_product_perfomance_dashboard.xlsx]Rating vs Review!PivotTable1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Rating</a:t>
            </a:r>
            <a:r>
              <a:rPr lang="en-US" sz="1600" b="1" baseline="0"/>
              <a:t> vs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9004369837399876"/>
          <c:y val="0.20954043346207737"/>
          <c:w val="0.65665995147669654"/>
          <c:h val="0.68931025898185494"/>
        </c:manualLayout>
      </c:layout>
      <c:barChart>
        <c:barDir val="bar"/>
        <c:grouping val="clustered"/>
        <c:varyColors val="0"/>
        <c:ser>
          <c:idx val="0"/>
          <c:order val="0"/>
          <c:tx>
            <c:strRef>
              <c:f>'Rating vs Review'!$B$3</c:f>
              <c:strCache>
                <c:ptCount val="1"/>
                <c:pt idx="0">
                  <c:v>Total</c:v>
                </c:pt>
              </c:strCache>
            </c:strRef>
          </c:tx>
          <c:spPr>
            <a:solidFill>
              <a:schemeClr val="accent1"/>
            </a:solidFill>
            <a:ln>
              <a:noFill/>
            </a:ln>
            <a:effectLst/>
          </c:spPr>
          <c:invertIfNegative val="0"/>
          <c:cat>
            <c:strRef>
              <c:f>'Rating vs Review'!$A$4:$A$26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vs Review'!$B$4:$B$26</c:f>
              <c:numCache>
                <c:formatCode>General</c:formatCode>
                <c:ptCount val="22"/>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numCache>
            </c:numRef>
          </c:val>
          <c:extLst>
            <c:ext xmlns:c16="http://schemas.microsoft.com/office/drawing/2014/chart" uri="{C3380CC4-5D6E-409C-BE32-E72D297353CC}">
              <c16:uniqueId val="{00000000-798E-4755-9C20-DC026FE719BE}"/>
            </c:ext>
          </c:extLst>
        </c:ser>
        <c:dLbls>
          <c:showLegendKey val="0"/>
          <c:showVal val="0"/>
          <c:showCatName val="0"/>
          <c:showSerName val="0"/>
          <c:showPercent val="0"/>
          <c:showBubbleSize val="0"/>
        </c:dLbls>
        <c:gapWidth val="182"/>
        <c:axId val="1759703151"/>
        <c:axId val="1698116543"/>
      </c:barChart>
      <c:catAx>
        <c:axId val="1759703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116543"/>
        <c:crosses val="autoZero"/>
        <c:auto val="1"/>
        <c:lblAlgn val="ctr"/>
        <c:lblOffset val="100"/>
        <c:noMultiLvlLbl val="0"/>
      </c:catAx>
      <c:valAx>
        <c:axId val="16981165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Number</a:t>
                </a:r>
                <a:r>
                  <a:rPr lang="en-US" sz="1200" baseline="0"/>
                  <a:t> of 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0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[jumia_product_perfomance_dashboard.xlsx]Discount vs Reviews!PivotTable1</c:name>
    <c:fmtId val="8"/>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b="1"/>
              <a:t>Discount percentage vs review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s>
    <c:plotArea>
      <c:layout>
        <c:manualLayout>
          <c:layoutTarget val="inner"/>
          <c:xMode val="edge"/>
          <c:yMode val="edge"/>
          <c:x val="8.3085641791158155E-2"/>
          <c:y val="0.18963882491205775"/>
          <c:w val="0.86748787371187863"/>
          <c:h val="0.59732260738120868"/>
        </c:manualLayout>
      </c:layout>
      <c:barChart>
        <c:barDir val="bar"/>
        <c:grouping val="clustered"/>
        <c:varyColors val="0"/>
        <c:ser>
          <c:idx val="0"/>
          <c:order val="0"/>
          <c:tx>
            <c:strRef>
              <c:f>'Discount vs Reviews'!$B$3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'Discount vs Reviews'!$A$4:$A$50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'Discount vs Reviews'!$B$4:$B$50</c:f>
              <c:numCache>
                <c:formatCode>General</c:formatCode>
                <c:ptCount val="46"/>
                <c:pt idx="5">
                  <c:v>1</c:v>
                </c:pt>
                <c:pt idx="7">
                  <c:v>1</c:v>
                </c:pt>
                <c:pt idx="9">
                  <c:v>1</c:v>
                </c:pt>
                <c:pt idx="10">
                  <c:v>1</c:v>
                </c:pt>
                <c:pt idx="11">
                  <c:v>1</c:v>
                </c:pt>
                <c:pt idx="12">
                  <c:v>1</c:v>
                </c:pt>
                <c:pt idx="13">
                  <c:v>1</c:v>
                </c:pt>
                <c:pt idx="14">
                  <c:v>1</c:v>
                </c:pt>
                <c:pt idx="15">
                  <c:v>1</c:v>
                </c:pt>
                <c:pt idx="16">
                  <c:v>1</c:v>
                </c:pt>
                <c:pt idx="17">
                  <c:v>1</c:v>
                </c:pt>
                <c:pt idx="18">
                  <c:v>2</c:v>
                </c:pt>
                <c:pt idx="19">
                  <c:v>1</c:v>
                </c:pt>
                <c:pt idx="20">
                  <c:v>1</c:v>
                </c:pt>
                <c:pt idx="21">
                  <c:v>1</c:v>
                </c:pt>
                <c:pt idx="22">
                  <c:v>1</c:v>
                </c:pt>
                <c:pt idx="23">
                  <c:v>2</c:v>
                </c:pt>
                <c:pt idx="24">
                  <c:v>2</c:v>
                </c:pt>
                <c:pt idx="26">
                  <c:v>2</c:v>
                </c:pt>
                <c:pt idx="27">
                  <c:v>2</c:v>
                </c:pt>
                <c:pt idx="28">
                  <c:v>1</c:v>
                </c:pt>
                <c:pt idx="29">
                  <c:v>1</c:v>
                </c:pt>
                <c:pt idx="30">
                  <c:v>1</c:v>
                </c:pt>
                <c:pt idx="31">
                  <c:v>1</c:v>
                </c:pt>
                <c:pt idx="32">
                  <c:v>2</c:v>
                </c:pt>
                <c:pt idx="33">
                  <c:v>3</c:v>
                </c:pt>
                <c:pt idx="34">
                  <c:v>2</c:v>
                </c:pt>
                <c:pt idx="35">
                  <c:v>4</c:v>
                </c:pt>
                <c:pt idx="36">
                  <c:v>1</c:v>
                </c:pt>
                <c:pt idx="37">
                  <c:v>5</c:v>
                </c:pt>
                <c:pt idx="38">
                  <c:v>2</c:v>
                </c:pt>
                <c:pt idx="39">
                  <c:v>1</c:v>
                </c:pt>
                <c:pt idx="40">
                  <c:v>2</c:v>
                </c:pt>
                <c:pt idx="41">
                  <c:v>2</c:v>
                </c:pt>
                <c:pt idx="42">
                  <c:v>2</c:v>
                </c:pt>
                <c:pt idx="43">
                  <c:v>2</c:v>
                </c:pt>
              </c:numCache>
            </c:numRef>
          </c:val>
          <c:extLst>
            <c:ext xmlns:c16="http://schemas.microsoft.com/office/drawing/2014/chart" uri="{C3380CC4-5D6E-409C-BE32-E72D297353CC}">
              <c16:uniqueId val="{00000000-22F4-47C1-9C0B-BD561DBD239D}"/>
            </c:ext>
          </c:extLst>
        </c:ser>
        <c:dLbls>
          <c:showLegendKey val="0"/>
          <c:showVal val="0"/>
          <c:showCatName val="0"/>
          <c:showSerName val="0"/>
          <c:showPercent val="0"/>
          <c:showBubbleSize val="0"/>
        </c:dLbls>
        <c:gapWidth val="41"/>
        <c:axId val="1700581215"/>
        <c:axId val="1703680287"/>
      </c:barChart>
      <c:catAx>
        <c:axId val="1700581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03680287"/>
        <c:crosses val="autoZero"/>
        <c:auto val="1"/>
        <c:lblAlgn val="ctr"/>
        <c:lblOffset val="100"/>
        <c:noMultiLvlLbl val="0"/>
      </c:catAx>
      <c:valAx>
        <c:axId val="170368028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0058121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[jumia_product_perfomance_dashboard.xlsx]Top 10 product rankings!PivotTable2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'Top 10 product rankings'!$B$3</c:f>
              <c:strCache>
                <c:ptCount val="1"/>
                <c:pt idx="0">
                  <c:v>Average of Rating</c:v>
                </c:pt>
              </c:strCache>
            </c:strRef>
          </c:tx>
          <c:spPr>
            <a:solidFill>
              <a:schemeClr val="accent1"/>
            </a:solidFill>
            <a:ln>
              <a:noFill/>
            </a:ln>
            <a:effectLst/>
          </c:spPr>
          <c:invertIfNegative val="0"/>
          <c:cat>
            <c:strRef>
              <c:f>'Top 10 product rankings'!$A$4:$A$14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10 product rankings'!$B$4:$B$14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7F88-4D1B-AD6C-FF1269664ECB}"/>
            </c:ext>
          </c:extLst>
        </c:ser>
        <c:ser>
          <c:idx val="1"/>
          <c:order val="1"/>
          <c:tx>
            <c:strRef>
              <c:f>'Top 10 product rankings'!$C$3</c:f>
              <c:strCache>
                <c:ptCount val="1"/>
                <c:pt idx="0">
                  <c:v>Sum of Review</c:v>
                </c:pt>
              </c:strCache>
            </c:strRef>
          </c:tx>
          <c:spPr>
            <a:solidFill>
              <a:schemeClr val="accent2"/>
            </a:solidFill>
            <a:ln>
              <a:noFill/>
            </a:ln>
            <a:effectLst/>
          </c:spPr>
          <c:invertIfNegative val="0"/>
          <c:cat>
            <c:strRef>
              <c:f>'Top 10 product rankings'!$A$4:$A$14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10 product rankings'!$C$4:$C$14</c:f>
              <c:numCache>
                <c:formatCode>General</c:formatCode>
                <c:ptCount val="10"/>
                <c:pt idx="0">
                  <c:v>12</c:v>
                </c:pt>
                <c:pt idx="1">
                  <c:v>2</c:v>
                </c:pt>
                <c:pt idx="2">
                  <c:v>1</c:v>
                </c:pt>
                <c:pt idx="3">
                  <c:v>2</c:v>
                </c:pt>
                <c:pt idx="4">
                  <c:v>1</c:v>
                </c:pt>
                <c:pt idx="5">
                  <c:v>1</c:v>
                </c:pt>
                <c:pt idx="6">
                  <c:v>3</c:v>
                </c:pt>
                <c:pt idx="7">
                  <c:v>5</c:v>
                </c:pt>
                <c:pt idx="8">
                  <c:v>2</c:v>
                </c:pt>
                <c:pt idx="9">
                  <c:v>5</c:v>
                </c:pt>
              </c:numCache>
            </c:numRef>
          </c:val>
          <c:extLst>
            <c:ext xmlns:c16="http://schemas.microsoft.com/office/drawing/2014/chart" uri="{C3380CC4-5D6E-409C-BE32-E72D297353CC}">
              <c16:uniqueId val="{00000001-7F88-4D1B-AD6C-FF1269664ECB}"/>
            </c:ext>
          </c:extLst>
        </c:ser>
        <c:ser>
          <c:idx val="2"/>
          <c:order val="2"/>
          <c:tx>
            <c:strRef>
              <c:f>'Top 10 product rankings'!$D$3</c:f>
              <c:strCache>
                <c:ptCount val="1"/>
                <c:pt idx="0">
                  <c:v>Average of Discount</c:v>
                </c:pt>
              </c:strCache>
            </c:strRef>
          </c:tx>
          <c:spPr>
            <a:solidFill>
              <a:schemeClr val="accent3"/>
            </a:solidFill>
            <a:ln>
              <a:noFill/>
            </a:ln>
            <a:effectLst/>
          </c:spPr>
          <c:invertIfNegative val="0"/>
          <c:cat>
            <c:strRef>
              <c:f>'Top 10 product rankings'!$A$4:$A$14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10 product rankings'!$D$4:$D$14</c:f>
              <c:numCache>
                <c:formatCode>General</c:formatCode>
                <c:ptCount val="10"/>
                <c:pt idx="0">
                  <c:v>0.47</c:v>
                </c:pt>
                <c:pt idx="1">
                  <c:v>0.51</c:v>
                </c:pt>
                <c:pt idx="2">
                  <c:v>0.49</c:v>
                </c:pt>
                <c:pt idx="3">
                  <c:v>0.53</c:v>
                </c:pt>
                <c:pt idx="4">
                  <c:v>0.4</c:v>
                </c:pt>
                <c:pt idx="5">
                  <c:v>0.21</c:v>
                </c:pt>
                <c:pt idx="6">
                  <c:v>0.49</c:v>
                </c:pt>
                <c:pt idx="7">
                  <c:v>0.55000000000000004</c:v>
                </c:pt>
                <c:pt idx="8">
                  <c:v>0.46</c:v>
                </c:pt>
                <c:pt idx="9">
                  <c:v>0.26</c:v>
                </c:pt>
              </c:numCache>
            </c:numRef>
          </c:val>
          <c:extLst>
            <c:ext xmlns:c16="http://schemas.microsoft.com/office/drawing/2014/chart" uri="{C3380CC4-5D6E-409C-BE32-E72D297353CC}">
              <c16:uniqueId val="{00000002-7F88-4D1B-AD6C-FF1269664ECB}"/>
            </c:ext>
          </c:extLst>
        </c:ser>
        <c:dLbls>
          <c:showLegendKey val="0"/>
          <c:showVal val="0"/>
          <c:showCatName val="0"/>
          <c:showSerName val="0"/>
          <c:showPercent val="0"/>
          <c:showBubbleSize val="0"/>
        </c:dLbls>
        <c:gapWidth val="219"/>
        <c:overlap val="-27"/>
        <c:axId val="1483963135"/>
        <c:axId val="1577427631"/>
      </c:barChart>
      <c:catAx>
        <c:axId val="148396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27631"/>
        <c:crosses val="autoZero"/>
        <c:auto val="1"/>
        <c:lblAlgn val="ctr"/>
        <c:lblOffset val="100"/>
        <c:noMultiLvlLbl val="0"/>
      </c:catAx>
      <c:valAx>
        <c:axId val="157742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6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[jumia_product_perfomance_dashboard.xlsx]Product categories!PivotTable3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Rating </a:t>
            </a:r>
          </a:p>
          <a:p>
            <a:pPr>
              <a:defRPr/>
            </a:pPr>
            <a:r>
              <a:rPr lang="en-US" b="1"/>
              <a:t>Categories</a:t>
            </a:r>
          </a:p>
        </c:rich>
      </c:tx>
      <c:layout>
        <c:manualLayout>
          <c:xMode val="edge"/>
          <c:yMode val="edge"/>
          <c:x val="0.43596586886266131"/>
          <c:y val="5.345341107597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'Product categories'!$B$3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6E-45C3-8D21-0F2398FF6E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6E-45C3-8D21-0F2398FF6E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6E-45C3-8D21-0F2398FF6E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6E-45C3-8D21-0F2398FF6ECB}"/>
              </c:ext>
            </c:extLst>
          </c:dPt>
          <c:cat>
            <c:strRef>
              <c:f>'Product categories'!$A$4:$A$8</c:f>
              <c:strCache>
                <c:ptCount val="4"/>
                <c:pt idx="1">
                  <c:v>Average</c:v>
                </c:pt>
                <c:pt idx="2">
                  <c:v>Excellent</c:v>
                </c:pt>
                <c:pt idx="3">
                  <c:v>Poor</c:v>
                </c:pt>
              </c:strCache>
            </c:strRef>
          </c:cat>
          <c:val>
            <c:numRef>
              <c:f>'Product categories'!$B$4:$B$8</c:f>
              <c:numCache>
                <c:formatCode>General</c:formatCode>
                <c:ptCount val="4"/>
                <c:pt idx="0">
                  <c:v>55</c:v>
                </c:pt>
                <c:pt idx="1">
                  <c:v>26</c:v>
                </c:pt>
                <c:pt idx="2">
                  <c:v>19</c:v>
                </c:pt>
                <c:pt idx="3">
                  <c:v>12</c:v>
                </c:pt>
              </c:numCache>
            </c:numRef>
          </c:val>
          <c:extLst>
            <c:ext xmlns:c16="http://schemas.microsoft.com/office/drawing/2014/chart" uri="{C3380CC4-5D6E-409C-BE32-E72D297353CC}">
              <c16:uniqueId val="{00000008-9C6E-45C3-8D21-0F2398FF6EC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[jumia_product_perfomance_dashboard.xlsx]Product categories!PivotTable3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'Product categories'!$B$3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A3-47B8-BCE2-66AA731A0B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A3-47B8-BCE2-66AA731A0B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A3-47B8-BCE2-66AA731A0B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A3-47B8-BCE2-66AA731A0B92}"/>
              </c:ext>
            </c:extLst>
          </c:dPt>
          <c:cat>
            <c:strRef>
              <c:f>'Product categories'!$A$4:$A$8</c:f>
              <c:strCache>
                <c:ptCount val="4"/>
                <c:pt idx="1">
                  <c:v>Average</c:v>
                </c:pt>
                <c:pt idx="2">
                  <c:v>Excellent</c:v>
                </c:pt>
                <c:pt idx="3">
                  <c:v>Poor</c:v>
                </c:pt>
              </c:strCache>
            </c:strRef>
          </c:cat>
          <c:val>
            <c:numRef>
              <c:f>'Product categories'!$B$4:$B$8</c:f>
              <c:numCache>
                <c:formatCode>General</c:formatCode>
                <c:ptCount val="4"/>
                <c:pt idx="0">
                  <c:v>55</c:v>
                </c:pt>
                <c:pt idx="1">
                  <c:v>26</c:v>
                </c:pt>
                <c:pt idx="2">
                  <c:v>19</c:v>
                </c:pt>
                <c:pt idx="3">
                  <c:v>12</c:v>
                </c:pt>
              </c:numCache>
            </c:numRef>
          </c:val>
          <c:extLst>
            <c:ext xmlns:c16="http://schemas.microsoft.com/office/drawing/2014/chart" uri="{C3380CC4-5D6E-409C-BE32-E72D297353CC}">
              <c16:uniqueId val="{00000000-688A-4287-ABA4-11E7DA2583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[jumia_product_perfomance_dashboard.xlsx]Discount vs Reviews!PivotTable1</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b="1"/>
              <a:t>Discount percentage vs review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s>
    <c:plotArea>
      <c:layout>
        <c:manualLayout>
          <c:layoutTarget val="inner"/>
          <c:xMode val="edge"/>
          <c:yMode val="edge"/>
          <c:x val="8.3085641791158155E-2"/>
          <c:y val="0.18963882491205775"/>
          <c:w val="0.86748787371187863"/>
          <c:h val="0.59732260738120868"/>
        </c:manualLayout>
      </c:layout>
      <c:barChart>
        <c:barDir val="bar"/>
        <c:grouping val="clustered"/>
        <c:varyColors val="0"/>
        <c:ser>
          <c:idx val="0"/>
          <c:order val="0"/>
          <c:tx>
            <c:strRef>
              <c:f>'Discount vs Reviews'!$B$3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'Discount vs Reviews'!$A$4:$A$50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'Discount vs Reviews'!$B$4:$B$50</c:f>
              <c:numCache>
                <c:formatCode>General</c:formatCode>
                <c:ptCount val="46"/>
                <c:pt idx="5">
                  <c:v>1</c:v>
                </c:pt>
                <c:pt idx="7">
                  <c:v>1</c:v>
                </c:pt>
                <c:pt idx="9">
                  <c:v>1</c:v>
                </c:pt>
                <c:pt idx="10">
                  <c:v>1</c:v>
                </c:pt>
                <c:pt idx="11">
                  <c:v>1</c:v>
                </c:pt>
                <c:pt idx="12">
                  <c:v>1</c:v>
                </c:pt>
                <c:pt idx="13">
                  <c:v>1</c:v>
                </c:pt>
                <c:pt idx="14">
                  <c:v>1</c:v>
                </c:pt>
                <c:pt idx="15">
                  <c:v>1</c:v>
                </c:pt>
                <c:pt idx="16">
                  <c:v>1</c:v>
                </c:pt>
                <c:pt idx="17">
                  <c:v>1</c:v>
                </c:pt>
                <c:pt idx="18">
                  <c:v>2</c:v>
                </c:pt>
                <c:pt idx="19">
                  <c:v>1</c:v>
                </c:pt>
                <c:pt idx="20">
                  <c:v>1</c:v>
                </c:pt>
                <c:pt idx="21">
                  <c:v>1</c:v>
                </c:pt>
                <c:pt idx="22">
                  <c:v>1</c:v>
                </c:pt>
                <c:pt idx="23">
                  <c:v>2</c:v>
                </c:pt>
                <c:pt idx="24">
                  <c:v>2</c:v>
                </c:pt>
                <c:pt idx="26">
                  <c:v>2</c:v>
                </c:pt>
                <c:pt idx="27">
                  <c:v>2</c:v>
                </c:pt>
                <c:pt idx="28">
                  <c:v>1</c:v>
                </c:pt>
                <c:pt idx="29">
                  <c:v>1</c:v>
                </c:pt>
                <c:pt idx="30">
                  <c:v>1</c:v>
                </c:pt>
                <c:pt idx="31">
                  <c:v>1</c:v>
                </c:pt>
                <c:pt idx="32">
                  <c:v>2</c:v>
                </c:pt>
                <c:pt idx="33">
                  <c:v>3</c:v>
                </c:pt>
                <c:pt idx="34">
                  <c:v>2</c:v>
                </c:pt>
                <c:pt idx="35">
                  <c:v>4</c:v>
                </c:pt>
                <c:pt idx="36">
                  <c:v>1</c:v>
                </c:pt>
                <c:pt idx="37">
                  <c:v>5</c:v>
                </c:pt>
                <c:pt idx="38">
                  <c:v>2</c:v>
                </c:pt>
                <c:pt idx="39">
                  <c:v>1</c:v>
                </c:pt>
                <c:pt idx="40">
                  <c:v>2</c:v>
                </c:pt>
                <c:pt idx="41">
                  <c:v>2</c:v>
                </c:pt>
                <c:pt idx="42">
                  <c:v>2</c:v>
                </c:pt>
                <c:pt idx="43">
                  <c:v>2</c:v>
                </c:pt>
              </c:numCache>
            </c:numRef>
          </c:val>
          <c:extLst>
            <c:ext xmlns:c16="http://schemas.microsoft.com/office/drawing/2014/chart" uri="{C3380CC4-5D6E-409C-BE32-E72D297353CC}">
              <c16:uniqueId val="{00000000-50B0-45A1-AF49-D522E00BA7D0}"/>
            </c:ext>
          </c:extLst>
        </c:ser>
        <c:dLbls>
          <c:showLegendKey val="0"/>
          <c:showVal val="0"/>
          <c:showCatName val="0"/>
          <c:showSerName val="0"/>
          <c:showPercent val="0"/>
          <c:showBubbleSize val="0"/>
        </c:dLbls>
        <c:gapWidth val="41"/>
        <c:axId val="1700581215"/>
        <c:axId val="1703680287"/>
      </c:barChart>
      <c:catAx>
        <c:axId val="170058121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sz="1200" b="0"/>
                  <a:t>Discount</a:t>
                </a:r>
                <a:r>
                  <a:rPr lang="en-US" sz="1200" b="0" baseline="0"/>
                  <a:t> percentage</a:t>
                </a:r>
                <a:endParaRPr lang="en-US" sz="1200" b="0"/>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03680287"/>
        <c:crosses val="autoZero"/>
        <c:auto val="1"/>
        <c:lblAlgn val="ctr"/>
        <c:lblOffset val="100"/>
        <c:noMultiLvlLbl val="0"/>
      </c:catAx>
      <c:valAx>
        <c:axId val="170368028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sz="1200" b="0"/>
                  <a:t>Review</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0058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[jumia_product_perfomance_dashboard.xlsx]Rating vs Review!PivotTable1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Rating</a:t>
            </a:r>
            <a:r>
              <a:rPr lang="en-US" sz="1600" b="1" baseline="0"/>
              <a:t> vs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9004369837399876"/>
          <c:y val="0.20954043346207737"/>
          <c:w val="0.65665995147669654"/>
          <c:h val="0.68931025898185494"/>
        </c:manualLayout>
      </c:layout>
      <c:barChart>
        <c:barDir val="bar"/>
        <c:grouping val="clustered"/>
        <c:varyColors val="0"/>
        <c:ser>
          <c:idx val="0"/>
          <c:order val="0"/>
          <c:tx>
            <c:strRef>
              <c:f>'Rating vs Review'!$B$3</c:f>
              <c:strCache>
                <c:ptCount val="1"/>
                <c:pt idx="0">
                  <c:v>Total</c:v>
                </c:pt>
              </c:strCache>
            </c:strRef>
          </c:tx>
          <c:spPr>
            <a:solidFill>
              <a:schemeClr val="accent1"/>
            </a:solidFill>
            <a:ln>
              <a:noFill/>
            </a:ln>
            <a:effectLst/>
          </c:spPr>
          <c:invertIfNegative val="0"/>
          <c:cat>
            <c:strRef>
              <c:f>'Rating vs Review'!$A$4:$A$26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vs Review'!$B$4:$B$26</c:f>
              <c:numCache>
                <c:formatCode>General</c:formatCode>
                <c:ptCount val="22"/>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numCache>
            </c:numRef>
          </c:val>
          <c:extLst>
            <c:ext xmlns:c16="http://schemas.microsoft.com/office/drawing/2014/chart" uri="{C3380CC4-5D6E-409C-BE32-E72D297353CC}">
              <c16:uniqueId val="{00000000-2FBF-4A8E-BAD8-BB853FDED4A6}"/>
            </c:ext>
          </c:extLst>
        </c:ser>
        <c:dLbls>
          <c:showLegendKey val="0"/>
          <c:showVal val="0"/>
          <c:showCatName val="0"/>
          <c:showSerName val="0"/>
          <c:showPercent val="0"/>
          <c:showBubbleSize val="0"/>
        </c:dLbls>
        <c:gapWidth val="182"/>
        <c:axId val="1759703151"/>
        <c:axId val="1698116543"/>
      </c:barChart>
      <c:catAx>
        <c:axId val="1759703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116543"/>
        <c:crosses val="autoZero"/>
        <c:auto val="1"/>
        <c:lblAlgn val="ctr"/>
        <c:lblOffset val="100"/>
        <c:noMultiLvlLbl val="0"/>
      </c:catAx>
      <c:valAx>
        <c:axId val="16981165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Number</a:t>
                </a:r>
                <a:r>
                  <a:rPr lang="en-US" sz="1200" baseline="0"/>
                  <a:t> of 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0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[jumia_product_perfomance_dashboard.xlsx]Top 10 product rankings!PivotTable2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'Top 10 product rankings'!$B$3</c:f>
              <c:strCache>
                <c:ptCount val="1"/>
                <c:pt idx="0">
                  <c:v>Average of Rating</c:v>
                </c:pt>
              </c:strCache>
            </c:strRef>
          </c:tx>
          <c:spPr>
            <a:solidFill>
              <a:schemeClr val="accent1"/>
            </a:solidFill>
            <a:ln>
              <a:noFill/>
            </a:ln>
            <a:effectLst/>
          </c:spPr>
          <c:invertIfNegative val="0"/>
          <c:cat>
            <c:strRef>
              <c:f>'Top 10 product rankings'!$A$4:$A$14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10 product rankings'!$B$4:$B$14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3D43-4484-9CCB-B4236AC8E54F}"/>
            </c:ext>
          </c:extLst>
        </c:ser>
        <c:ser>
          <c:idx val="1"/>
          <c:order val="1"/>
          <c:tx>
            <c:strRef>
              <c:f>'Top 10 product rankings'!$C$3</c:f>
              <c:strCache>
                <c:ptCount val="1"/>
                <c:pt idx="0">
                  <c:v>Sum of Review</c:v>
                </c:pt>
              </c:strCache>
            </c:strRef>
          </c:tx>
          <c:spPr>
            <a:solidFill>
              <a:schemeClr val="accent2"/>
            </a:solidFill>
            <a:ln>
              <a:noFill/>
            </a:ln>
            <a:effectLst/>
          </c:spPr>
          <c:invertIfNegative val="0"/>
          <c:cat>
            <c:strRef>
              <c:f>'Top 10 product rankings'!$A$4:$A$14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10 product rankings'!$C$4:$C$14</c:f>
              <c:numCache>
                <c:formatCode>General</c:formatCode>
                <c:ptCount val="10"/>
                <c:pt idx="0">
                  <c:v>12</c:v>
                </c:pt>
                <c:pt idx="1">
                  <c:v>2</c:v>
                </c:pt>
                <c:pt idx="2">
                  <c:v>1</c:v>
                </c:pt>
                <c:pt idx="3">
                  <c:v>2</c:v>
                </c:pt>
                <c:pt idx="4">
                  <c:v>1</c:v>
                </c:pt>
                <c:pt idx="5">
                  <c:v>1</c:v>
                </c:pt>
                <c:pt idx="6">
                  <c:v>3</c:v>
                </c:pt>
                <c:pt idx="7">
                  <c:v>5</c:v>
                </c:pt>
                <c:pt idx="8">
                  <c:v>2</c:v>
                </c:pt>
                <c:pt idx="9">
                  <c:v>5</c:v>
                </c:pt>
              </c:numCache>
            </c:numRef>
          </c:val>
          <c:extLst>
            <c:ext xmlns:c16="http://schemas.microsoft.com/office/drawing/2014/chart" uri="{C3380CC4-5D6E-409C-BE32-E72D297353CC}">
              <c16:uniqueId val="{00000001-3D43-4484-9CCB-B4236AC8E54F}"/>
            </c:ext>
          </c:extLst>
        </c:ser>
        <c:ser>
          <c:idx val="2"/>
          <c:order val="2"/>
          <c:tx>
            <c:strRef>
              <c:f>'Top 10 product rankings'!$D$3</c:f>
              <c:strCache>
                <c:ptCount val="1"/>
                <c:pt idx="0">
                  <c:v>Average of Discount</c:v>
                </c:pt>
              </c:strCache>
            </c:strRef>
          </c:tx>
          <c:spPr>
            <a:solidFill>
              <a:schemeClr val="accent3"/>
            </a:solidFill>
            <a:ln>
              <a:noFill/>
            </a:ln>
            <a:effectLst/>
          </c:spPr>
          <c:invertIfNegative val="0"/>
          <c:cat>
            <c:strRef>
              <c:f>'Top 10 product rankings'!$A$4:$A$14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 10 product rankings'!$D$4:$D$14</c:f>
              <c:numCache>
                <c:formatCode>General</c:formatCode>
                <c:ptCount val="10"/>
                <c:pt idx="0">
                  <c:v>0.47</c:v>
                </c:pt>
                <c:pt idx="1">
                  <c:v>0.51</c:v>
                </c:pt>
                <c:pt idx="2">
                  <c:v>0.49</c:v>
                </c:pt>
                <c:pt idx="3">
                  <c:v>0.53</c:v>
                </c:pt>
                <c:pt idx="4">
                  <c:v>0.4</c:v>
                </c:pt>
                <c:pt idx="5">
                  <c:v>0.21</c:v>
                </c:pt>
                <c:pt idx="6">
                  <c:v>0.49</c:v>
                </c:pt>
                <c:pt idx="7">
                  <c:v>0.55000000000000004</c:v>
                </c:pt>
                <c:pt idx="8">
                  <c:v>0.46</c:v>
                </c:pt>
                <c:pt idx="9">
                  <c:v>0.26</c:v>
                </c:pt>
              </c:numCache>
            </c:numRef>
          </c:val>
          <c:extLst>
            <c:ext xmlns:c16="http://schemas.microsoft.com/office/drawing/2014/chart" uri="{C3380CC4-5D6E-409C-BE32-E72D297353CC}">
              <c16:uniqueId val="{00000002-3D43-4484-9CCB-B4236AC8E54F}"/>
            </c:ext>
          </c:extLst>
        </c:ser>
        <c:dLbls>
          <c:showLegendKey val="0"/>
          <c:showVal val="0"/>
          <c:showCatName val="0"/>
          <c:showSerName val="0"/>
          <c:showPercent val="0"/>
          <c:showBubbleSize val="0"/>
        </c:dLbls>
        <c:gapWidth val="219"/>
        <c:overlap val="-27"/>
        <c:axId val="1483963135"/>
        <c:axId val="1577427631"/>
      </c:barChart>
      <c:catAx>
        <c:axId val="148396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27631"/>
        <c:crosses val="autoZero"/>
        <c:auto val="1"/>
        <c:lblAlgn val="ctr"/>
        <c:lblOffset val="100"/>
        <c:noMultiLvlLbl val="0"/>
      </c:catAx>
      <c:valAx>
        <c:axId val="157742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6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24</xdr:col>
      <xdr:colOff>161925</xdr:colOff>
      <xdr:row>12</xdr:row>
      <xdr:rowOff>128587</xdr:rowOff>
    </xdr:from>
    <xdr:to>
      <xdr:col>31</xdr:col>
      <xdr:colOff>466725</xdr:colOff>
      <xdr:row>27</xdr:row>
      <xdr:rowOff>14287</xdr:rowOff>
    </xdr:to>
    <xdr:graphicFrame macro="">
      <xdr:nvGraphicFramePr>
        <xdr:cNvPr id="2" name="Chart 1">
          <a:extLst>
            <a:ext uri="{FF2B5EF4-FFF2-40B4-BE49-F238E27FC236}">
              <a16:creationId xmlns:a16="http://schemas.microsoft.com/office/drawing/2014/main" id="{7F3FFFEE-2013-4326-A170-86D4115DD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385424</xdr:colOff>
      <xdr:row>0</xdr:row>
      <xdr:rowOff>79106</xdr:rowOff>
    </xdr:from>
    <xdr:to>
      <xdr:col>31</xdr:col>
      <xdr:colOff>412749</xdr:colOff>
      <xdr:row>3</xdr:row>
      <xdr:rowOff>47625</xdr:rowOff>
    </xdr:to>
    <xdr:sp macro="" textlink="">
      <xdr:nvSpPr>
        <xdr:cNvPr id="2" name="Rectangle: Rounded Corners 1">
          <a:extLst>
            <a:ext uri="{FF2B5EF4-FFF2-40B4-BE49-F238E27FC236}">
              <a16:creationId xmlns:a16="http://schemas.microsoft.com/office/drawing/2014/main" id="{B68B1C1D-7078-4363-BD03-ACBB4C7E98B3}"/>
            </a:ext>
          </a:extLst>
        </xdr:cNvPr>
        <xdr:cNvSpPr/>
      </xdr:nvSpPr>
      <xdr:spPr>
        <a:xfrm>
          <a:off x="5211424" y="79106"/>
          <a:ext cx="13902075" cy="540019"/>
        </a:xfrm>
        <a:prstGeom prst="roundRect">
          <a:avLst/>
        </a:prstGeom>
        <a:solidFill>
          <a:schemeClr val="accent4">
            <a:lumMod val="40000"/>
            <a:lumOff val="60000"/>
          </a:schemeClr>
        </a:solidFill>
        <a:ln>
          <a:solidFill>
            <a:sysClr val="windowText" lastClr="000000"/>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3200">
              <a:solidFill>
                <a:schemeClr val="tx1"/>
              </a:solidFill>
              <a:latin typeface="Times New Roman" panose="02020603050405020304" pitchFamily="18" charset="0"/>
              <a:cs typeface="Times New Roman" panose="02020603050405020304" pitchFamily="18" charset="0"/>
            </a:rPr>
            <a:t>JUMIA</a:t>
          </a:r>
          <a:r>
            <a:rPr lang="en-US" sz="3200" baseline="0">
              <a:solidFill>
                <a:schemeClr val="tx1"/>
              </a:solidFill>
              <a:latin typeface="Times New Roman" panose="02020603050405020304" pitchFamily="18" charset="0"/>
              <a:cs typeface="Times New Roman" panose="02020603050405020304" pitchFamily="18" charset="0"/>
            </a:rPr>
            <a:t> PRODUCTS PERFOMANCE DASHBOARD</a:t>
          </a:r>
          <a:endParaRPr lang="en-US" sz="3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48433</xdr:colOff>
      <xdr:row>3</xdr:row>
      <xdr:rowOff>185254</xdr:rowOff>
    </xdr:from>
    <xdr:to>
      <xdr:col>12</xdr:col>
      <xdr:colOff>107156</xdr:colOff>
      <xdr:row>7</xdr:row>
      <xdr:rowOff>127000</xdr:rowOff>
    </xdr:to>
    <xdr:sp macro="" textlink="">
      <xdr:nvSpPr>
        <xdr:cNvPr id="3" name="Rectangle: Rounded Corners 2">
          <a:extLst>
            <a:ext uri="{FF2B5EF4-FFF2-40B4-BE49-F238E27FC236}">
              <a16:creationId xmlns:a16="http://schemas.microsoft.com/office/drawing/2014/main" id="{CA4C86C6-BBE1-4F6C-B756-04B450F440AA}"/>
            </a:ext>
          </a:extLst>
        </xdr:cNvPr>
        <xdr:cNvSpPr/>
      </xdr:nvSpPr>
      <xdr:spPr>
        <a:xfrm>
          <a:off x="4271183" y="756754"/>
          <a:ext cx="3074973" cy="703746"/>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ysClr val="windowText" lastClr="000000"/>
              </a:solidFill>
              <a:latin typeface="Times New Roman" panose="02020603050405020304" pitchFamily="18" charset="0"/>
              <a:cs typeface="Times New Roman" panose="02020603050405020304" pitchFamily="18" charset="0"/>
            </a:rPr>
            <a:t>Total</a:t>
          </a:r>
          <a:r>
            <a:rPr lang="en-US" sz="1800" baseline="0">
              <a:solidFill>
                <a:sysClr val="windowText" lastClr="000000"/>
              </a:solidFill>
              <a:latin typeface="Times New Roman" panose="02020603050405020304" pitchFamily="18" charset="0"/>
              <a:cs typeface="Times New Roman" panose="02020603050405020304" pitchFamily="18" charset="0"/>
            </a:rPr>
            <a:t> Products</a:t>
          </a:r>
        </a:p>
        <a:p>
          <a:pPr algn="ctr"/>
          <a:r>
            <a:rPr lang="en-US" sz="1800" baseline="0">
              <a:solidFill>
                <a:sysClr val="windowText" lastClr="000000"/>
              </a:solidFill>
              <a:latin typeface="Times New Roman" panose="02020603050405020304" pitchFamily="18" charset="0"/>
              <a:cs typeface="Times New Roman" panose="02020603050405020304" pitchFamily="18" charset="0"/>
            </a:rPr>
            <a:t>112</a:t>
          </a:r>
          <a:endParaRPr lang="en-US" sz="18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317500</xdr:colOff>
      <xdr:row>4</xdr:row>
      <xdr:rowOff>35720</xdr:rowOff>
    </xdr:from>
    <xdr:to>
      <xdr:col>18</xdr:col>
      <xdr:colOff>285750</xdr:colOff>
      <xdr:row>7</xdr:row>
      <xdr:rowOff>158750</xdr:rowOff>
    </xdr:to>
    <xdr:sp macro="" textlink="">
      <xdr:nvSpPr>
        <xdr:cNvPr id="5" name="Rectangle: Rounded Corners 4">
          <a:extLst>
            <a:ext uri="{FF2B5EF4-FFF2-40B4-BE49-F238E27FC236}">
              <a16:creationId xmlns:a16="http://schemas.microsoft.com/office/drawing/2014/main" id="{B3B078A2-0E24-47A2-918B-FD766F99321D}"/>
            </a:ext>
          </a:extLst>
        </xdr:cNvPr>
        <xdr:cNvSpPr/>
      </xdr:nvSpPr>
      <xdr:spPr>
        <a:xfrm>
          <a:off x="7556500" y="797720"/>
          <a:ext cx="3587750" cy="694530"/>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ysClr val="windowText" lastClr="000000"/>
              </a:solidFill>
              <a:latin typeface="Times New Roman" panose="02020603050405020304" pitchFamily="18" charset="0"/>
              <a:cs typeface="Times New Roman" panose="02020603050405020304" pitchFamily="18" charset="0"/>
            </a:rPr>
            <a:t>Total Reviews</a:t>
          </a:r>
        </a:p>
        <a:p>
          <a:pPr algn="ctr"/>
          <a:r>
            <a:rPr lang="en-US" sz="1800">
              <a:solidFill>
                <a:sysClr val="windowText" lastClr="000000"/>
              </a:solidFill>
              <a:latin typeface="Times New Roman" panose="02020603050405020304" pitchFamily="18" charset="0"/>
              <a:cs typeface="Times New Roman" panose="02020603050405020304" pitchFamily="18" charset="0"/>
            </a:rPr>
            <a:t>678</a:t>
          </a:r>
        </a:p>
      </xdr:txBody>
    </xdr:sp>
    <xdr:clientData/>
  </xdr:twoCellAnchor>
  <xdr:twoCellAnchor>
    <xdr:from>
      <xdr:col>18</xdr:col>
      <xdr:colOff>555625</xdr:colOff>
      <xdr:row>4</xdr:row>
      <xdr:rowOff>47625</xdr:rowOff>
    </xdr:from>
    <xdr:to>
      <xdr:col>24</xdr:col>
      <xdr:colOff>492125</xdr:colOff>
      <xdr:row>8</xdr:row>
      <xdr:rowOff>0</xdr:rowOff>
    </xdr:to>
    <xdr:sp macro="" textlink="">
      <xdr:nvSpPr>
        <xdr:cNvPr id="6" name="Rectangle: Rounded Corners 5">
          <a:extLst>
            <a:ext uri="{FF2B5EF4-FFF2-40B4-BE49-F238E27FC236}">
              <a16:creationId xmlns:a16="http://schemas.microsoft.com/office/drawing/2014/main" id="{18F67A0D-C520-41FD-9A92-29387D53C625}"/>
            </a:ext>
          </a:extLst>
        </xdr:cNvPr>
        <xdr:cNvSpPr/>
      </xdr:nvSpPr>
      <xdr:spPr>
        <a:xfrm>
          <a:off x="11414125" y="809625"/>
          <a:ext cx="3556000" cy="714375"/>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ysClr val="windowText" lastClr="000000"/>
              </a:solidFill>
              <a:latin typeface="Times New Roman" panose="02020603050405020304" pitchFamily="18" charset="0"/>
              <a:cs typeface="Times New Roman" panose="02020603050405020304" pitchFamily="18" charset="0"/>
            </a:rPr>
            <a:t>Average Discount</a:t>
          </a:r>
        </a:p>
        <a:p>
          <a:pPr algn="ctr"/>
          <a:r>
            <a:rPr lang="en-US" sz="1800">
              <a:solidFill>
                <a:sysClr val="windowText" lastClr="000000"/>
              </a:solidFill>
              <a:latin typeface="Times New Roman" panose="02020603050405020304" pitchFamily="18" charset="0"/>
              <a:cs typeface="Times New Roman" panose="02020603050405020304" pitchFamily="18" charset="0"/>
            </a:rPr>
            <a:t>37%</a:t>
          </a:r>
        </a:p>
      </xdr:txBody>
    </xdr:sp>
    <xdr:clientData/>
  </xdr:twoCellAnchor>
  <xdr:twoCellAnchor>
    <xdr:from>
      <xdr:col>25</xdr:col>
      <xdr:colOff>174624</xdr:colOff>
      <xdr:row>4</xdr:row>
      <xdr:rowOff>23812</xdr:rowOff>
    </xdr:from>
    <xdr:to>
      <xdr:col>32</xdr:col>
      <xdr:colOff>158749</xdr:colOff>
      <xdr:row>7</xdr:row>
      <xdr:rowOff>174625</xdr:rowOff>
    </xdr:to>
    <xdr:sp macro="" textlink="">
      <xdr:nvSpPr>
        <xdr:cNvPr id="9" name="Rectangle: Rounded Corners 8">
          <a:extLst>
            <a:ext uri="{FF2B5EF4-FFF2-40B4-BE49-F238E27FC236}">
              <a16:creationId xmlns:a16="http://schemas.microsoft.com/office/drawing/2014/main" id="{C974A374-2D74-47D3-9E35-FFE678A11335}"/>
            </a:ext>
          </a:extLst>
        </xdr:cNvPr>
        <xdr:cNvSpPr/>
      </xdr:nvSpPr>
      <xdr:spPr>
        <a:xfrm>
          <a:off x="15255874" y="785812"/>
          <a:ext cx="4206875" cy="722313"/>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latin typeface="Times New Roman" panose="02020603050405020304" pitchFamily="18" charset="0"/>
              <a:cs typeface="Times New Roman" panose="02020603050405020304" pitchFamily="18" charset="0"/>
            </a:rPr>
            <a:t>Average</a:t>
          </a:r>
          <a:r>
            <a:rPr lang="en-US" sz="1800" baseline="0">
              <a:solidFill>
                <a:schemeClr val="tx1"/>
              </a:solidFill>
              <a:latin typeface="Times New Roman" panose="02020603050405020304" pitchFamily="18" charset="0"/>
              <a:cs typeface="Times New Roman" panose="02020603050405020304" pitchFamily="18" charset="0"/>
            </a:rPr>
            <a:t> Rating</a:t>
          </a:r>
        </a:p>
        <a:p>
          <a:pPr algn="ctr"/>
          <a:r>
            <a:rPr lang="en-US" sz="1800" baseline="0">
              <a:solidFill>
                <a:schemeClr val="tx1"/>
              </a:solidFill>
              <a:latin typeface="Times New Roman" panose="02020603050405020304" pitchFamily="18" charset="0"/>
              <a:cs typeface="Times New Roman" panose="02020603050405020304" pitchFamily="18" charset="0"/>
            </a:rPr>
            <a:t>3.88</a:t>
          </a:r>
          <a:endParaRPr lang="en-US" sz="18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247650</xdr:colOff>
      <xdr:row>8</xdr:row>
      <xdr:rowOff>130968</xdr:rowOff>
    </xdr:from>
    <xdr:to>
      <xdr:col>31</xdr:col>
      <xdr:colOff>495300</xdr:colOff>
      <xdr:row>27</xdr:row>
      <xdr:rowOff>136071</xdr:rowOff>
    </xdr:to>
    <xdr:graphicFrame macro="">
      <xdr:nvGraphicFramePr>
        <xdr:cNvPr id="11" name="Chart 10">
          <a:extLst>
            <a:ext uri="{FF2B5EF4-FFF2-40B4-BE49-F238E27FC236}">
              <a16:creationId xmlns:a16="http://schemas.microsoft.com/office/drawing/2014/main" id="{070613A6-F11B-409B-9D53-E10DE2F2E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428895</xdr:colOff>
      <xdr:row>8</xdr:row>
      <xdr:rowOff>74084</xdr:rowOff>
    </xdr:from>
    <xdr:to>
      <xdr:col>21</xdr:col>
      <xdr:colOff>54429</xdr:colOff>
      <xdr:row>28</xdr:row>
      <xdr:rowOff>171450</xdr:rowOff>
    </xdr:to>
    <xdr:graphicFrame macro="">
      <xdr:nvGraphicFramePr>
        <xdr:cNvPr id="13" name="Chart 12">
          <a:extLst>
            <a:ext uri="{FF2B5EF4-FFF2-40B4-BE49-F238E27FC236}">
              <a16:creationId xmlns:a16="http://schemas.microsoft.com/office/drawing/2014/main" id="{73278B9B-0516-4B17-8A2E-B90D7CF4D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503464</xdr:colOff>
      <xdr:row>29</xdr:row>
      <xdr:rowOff>40820</xdr:rowOff>
    </xdr:from>
    <xdr:to>
      <xdr:col>20</xdr:col>
      <xdr:colOff>571500</xdr:colOff>
      <xdr:row>48</xdr:row>
      <xdr:rowOff>95249</xdr:rowOff>
    </xdr:to>
    <xdr:graphicFrame macro="">
      <xdr:nvGraphicFramePr>
        <xdr:cNvPr id="17" name="Chart 16">
          <a:extLst>
            <a:ext uri="{FF2B5EF4-FFF2-40B4-BE49-F238E27FC236}">
              <a16:creationId xmlns:a16="http://schemas.microsoft.com/office/drawing/2014/main" id="{7EFD09B6-C747-4336-B761-0902B8B0F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326571</xdr:colOff>
      <xdr:row>29</xdr:row>
      <xdr:rowOff>108857</xdr:rowOff>
    </xdr:from>
    <xdr:to>
      <xdr:col>31</xdr:col>
      <xdr:colOff>323850</xdr:colOff>
      <xdr:row>48</xdr:row>
      <xdr:rowOff>38100</xdr:rowOff>
    </xdr:to>
    <xdr:graphicFrame macro="">
      <xdr:nvGraphicFramePr>
        <xdr:cNvPr id="18" name="Chart 17">
          <a:extLst>
            <a:ext uri="{FF2B5EF4-FFF2-40B4-BE49-F238E27FC236}">
              <a16:creationId xmlns:a16="http://schemas.microsoft.com/office/drawing/2014/main" id="{875C7D94-A835-4D07-95B5-E07828B56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40821</xdr:colOff>
      <xdr:row>8</xdr:row>
      <xdr:rowOff>114300</xdr:rowOff>
    </xdr:from>
    <xdr:to>
      <xdr:col>11</xdr:col>
      <xdr:colOff>136071</xdr:colOff>
      <xdr:row>19</xdr:row>
      <xdr:rowOff>13607</xdr:rowOff>
    </xdr:to>
    <mc:AlternateContent xmlns:mc="http://schemas.openxmlformats.org/markup-compatibility/2006" xmlns:a14="http://schemas.microsoft.com/office/drawing/2010/main">
      <mc:Choice Requires="a14">
        <xdr:graphicFrame macro="">
          <xdr:nvGraphicFramePr>
            <xdr:cNvPr id="19" name="Rating 3">
              <a:extLst>
                <a:ext uri="{FF2B5EF4-FFF2-40B4-BE49-F238E27FC236}">
                  <a16:creationId xmlns:a16="http://schemas.microsoft.com/office/drawing/2014/main" id="{CD90272F-53D0-44DE-8AB8-E5AD9B36FFA1}"/>
                </a:ext>
              </a:extLst>
            </xdr:cNvPr>
            <xdr:cNvGraphicFramePr/>
          </xdr:nvGraphicFramePr>
          <xdr:xfrm>
            <a:off x="0" y="0"/>
            <a:ext cx="0" cy="0"/>
          </xdr:xfrm>
          <a:graphic>
            <a:graphicData uri="http://schemas.microsoft.com/office/drawing/2010/slicer">
              <sle:slicer xmlns:sle="http://schemas.microsoft.com/office/drawing/2010/slicer" name="Rating 3"/>
            </a:graphicData>
          </a:graphic>
        </xdr:graphicFrame>
      </mc:Choice>
      <mc:Fallback xmlns="">
        <xdr:sp macro="" textlink="">
          <xdr:nvSpPr>
            <xdr:cNvPr id="0" name=""/>
            <xdr:cNvSpPr>
              <a:spLocks noTextEdit="1"/>
            </xdr:cNvSpPr>
          </xdr:nvSpPr>
          <xdr:spPr>
            <a:xfrm>
              <a:off x="4327071" y="1638300"/>
              <a:ext cx="2544536" cy="19948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13607</xdr:colOff>
      <xdr:row>19</xdr:row>
      <xdr:rowOff>163287</xdr:rowOff>
    </xdr:from>
    <xdr:to>
      <xdr:col>11</xdr:col>
      <xdr:colOff>176892</xdr:colOff>
      <xdr:row>28</xdr:row>
      <xdr:rowOff>149679</xdr:rowOff>
    </xdr:to>
    <mc:AlternateContent xmlns:mc="http://schemas.openxmlformats.org/markup-compatibility/2006" xmlns:a14="http://schemas.microsoft.com/office/drawing/2010/main">
      <mc:Choice Requires="a14">
        <xdr:graphicFrame macro="">
          <xdr:nvGraphicFramePr>
            <xdr:cNvPr id="21" name="Discount Category 1">
              <a:extLst>
                <a:ext uri="{FF2B5EF4-FFF2-40B4-BE49-F238E27FC236}">
                  <a16:creationId xmlns:a16="http://schemas.microsoft.com/office/drawing/2014/main" id="{D362DB7B-1B08-462D-B38C-867A2E7F4A39}"/>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4299857" y="3782787"/>
              <a:ext cx="2612571" cy="1700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544285</xdr:colOff>
      <xdr:row>29</xdr:row>
      <xdr:rowOff>95250</xdr:rowOff>
    </xdr:from>
    <xdr:to>
      <xdr:col>11</xdr:col>
      <xdr:colOff>190499</xdr:colOff>
      <xdr:row>48</xdr:row>
      <xdr:rowOff>163286</xdr:rowOff>
    </xdr:to>
    <mc:AlternateContent xmlns:mc="http://schemas.openxmlformats.org/markup-compatibility/2006" xmlns:a14="http://schemas.microsoft.com/office/drawing/2010/main">
      <mc:Choice Requires="a14">
        <xdr:graphicFrame macro="">
          <xdr:nvGraphicFramePr>
            <xdr:cNvPr id="22" name="Product 3">
              <a:extLst>
                <a:ext uri="{FF2B5EF4-FFF2-40B4-BE49-F238E27FC236}">
                  <a16:creationId xmlns:a16="http://schemas.microsoft.com/office/drawing/2014/main" id="{F2086FF2-EC80-4C21-A187-05DDB2728A8B}"/>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4218214" y="5619750"/>
              <a:ext cx="2707821" cy="3687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195262</xdr:colOff>
      <xdr:row>4</xdr:row>
      <xdr:rowOff>33337</xdr:rowOff>
    </xdr:from>
    <xdr:to>
      <xdr:col>10</xdr:col>
      <xdr:colOff>500062</xdr:colOff>
      <xdr:row>18</xdr:row>
      <xdr:rowOff>109537</xdr:rowOff>
    </xdr:to>
    <xdr:graphicFrame macro="">
      <xdr:nvGraphicFramePr>
        <xdr:cNvPr id="2" name="Chart 1">
          <a:extLst>
            <a:ext uri="{FF2B5EF4-FFF2-40B4-BE49-F238E27FC236}">
              <a16:creationId xmlns:a16="http://schemas.microsoft.com/office/drawing/2014/main" id="{C88C3F6B-4E81-4CD2-8CBD-C1D8AE0E8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28575</xdr:colOff>
      <xdr:row>1</xdr:row>
      <xdr:rowOff>85726</xdr:rowOff>
    </xdr:from>
    <xdr:to>
      <xdr:col>28</xdr:col>
      <xdr:colOff>209550</xdr:colOff>
      <xdr:row>32</xdr:row>
      <xdr:rowOff>133350</xdr:rowOff>
    </xdr:to>
    <xdr:graphicFrame macro="">
      <xdr:nvGraphicFramePr>
        <xdr:cNvPr id="4" name="Chart 3">
          <a:extLst>
            <a:ext uri="{FF2B5EF4-FFF2-40B4-BE49-F238E27FC236}">
              <a16:creationId xmlns:a16="http://schemas.microsoft.com/office/drawing/2014/main" id="{AEBB3867-1CCF-4DED-8C99-00EEA22D9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114301</xdr:colOff>
      <xdr:row>2</xdr:row>
      <xdr:rowOff>19050</xdr:rowOff>
    </xdr:from>
    <xdr:to>
      <xdr:col>14</xdr:col>
      <xdr:colOff>123825</xdr:colOff>
      <xdr:row>20</xdr:row>
      <xdr:rowOff>104775</xdr:rowOff>
    </xdr:to>
    <xdr:graphicFrame macro="">
      <xdr:nvGraphicFramePr>
        <xdr:cNvPr id="2" name="Chart 1">
          <a:extLst>
            <a:ext uri="{FF2B5EF4-FFF2-40B4-BE49-F238E27FC236}">
              <a16:creationId xmlns:a16="http://schemas.microsoft.com/office/drawing/2014/main" id="{C9840702-382D-4713-BEEE-B1AA8BBD8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2747962</xdr:colOff>
      <xdr:row>4</xdr:row>
      <xdr:rowOff>33337</xdr:rowOff>
    </xdr:from>
    <xdr:to>
      <xdr:col>3</xdr:col>
      <xdr:colOff>595312</xdr:colOff>
      <xdr:row>18</xdr:row>
      <xdr:rowOff>109537</xdr:rowOff>
    </xdr:to>
    <xdr:graphicFrame macro="">
      <xdr:nvGraphicFramePr>
        <xdr:cNvPr id="2" name="Chart 1">
          <a:extLst>
            <a:ext uri="{FF2B5EF4-FFF2-40B4-BE49-F238E27FC236}">
              <a16:creationId xmlns:a16="http://schemas.microsoft.com/office/drawing/2014/main" id="{C5555AF3-3382-4BE6-B528-00F6411C0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590550</xdr:colOff>
      <xdr:row>7</xdr:row>
      <xdr:rowOff>47625</xdr:rowOff>
    </xdr:from>
    <xdr:to>
      <xdr:col>7</xdr:col>
      <xdr:colOff>590550</xdr:colOff>
      <xdr:row>20</xdr:row>
      <xdr:rowOff>95250</xdr:rowOff>
    </xdr:to>
    <mc:AlternateContent xmlns:mc="http://schemas.openxmlformats.org/markup-compatibility/2006" xmlns:a14="http://schemas.microsoft.com/office/drawing/2010/main">
      <mc:Choice Requires="a14">
        <xdr:graphicFrame macro="">
          <xdr:nvGraphicFramePr>
            <xdr:cNvPr id="5" name="Rating 2">
              <a:extLst>
                <a:ext uri="{FF2B5EF4-FFF2-40B4-BE49-F238E27FC236}">
                  <a16:creationId xmlns:a16="http://schemas.microsoft.com/office/drawing/2014/main" id="{816E0E46-C4BC-4F94-A911-91589BEFB5C7}"/>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8582025" y="1381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828675</xdr:colOff>
      <xdr:row>4</xdr:row>
      <xdr:rowOff>180975</xdr:rowOff>
    </xdr:from>
    <xdr:to>
      <xdr:col>3</xdr:col>
      <xdr:colOff>590550</xdr:colOff>
      <xdr:row>18</xdr:row>
      <xdr:rowOff>38100</xdr:rowOff>
    </xdr:to>
    <mc:AlternateContent xmlns:mc="http://schemas.openxmlformats.org/markup-compatibility/2006" xmlns:a14="http://schemas.microsoft.com/office/drawing/2010/main">
      <mc:Choice Requires="a14">
        <xdr:graphicFrame macro="">
          <xdr:nvGraphicFramePr>
            <xdr:cNvPr id="6" name="Discount Category">
              <a:extLst>
                <a:ext uri="{FF2B5EF4-FFF2-40B4-BE49-F238E27FC236}">
                  <a16:creationId xmlns:a16="http://schemas.microsoft.com/office/drawing/2014/main" id="{79C01573-1D76-4A76-9E2D-6473AE865DBB}"/>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5486400" y="942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828675</xdr:colOff>
      <xdr:row>4</xdr:row>
      <xdr:rowOff>180975</xdr:rowOff>
    </xdr:from>
    <xdr:to>
      <xdr:col>3</xdr:col>
      <xdr:colOff>590550</xdr:colOff>
      <xdr:row>18</xdr:row>
      <xdr:rowOff>38100</xdr:rowOff>
    </xdr:to>
    <mc:AlternateContent xmlns:mc="http://schemas.openxmlformats.org/markup-compatibility/2006" xmlns:a14="http://schemas.microsoft.com/office/drawing/2010/main">
      <mc:Choice Requires="a14">
        <xdr:graphicFrame macro="">
          <xdr:nvGraphicFramePr>
            <xdr:cNvPr id="7" name="Product 2">
              <a:extLst>
                <a:ext uri="{FF2B5EF4-FFF2-40B4-BE49-F238E27FC236}">
                  <a16:creationId xmlns:a16="http://schemas.microsoft.com/office/drawing/2014/main" id="{1DDDA8C4-ABFE-4D01-8E33-2D7C39A9EE9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5486400" y="942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523875</xdr:colOff>
      <xdr:row>3</xdr:row>
      <xdr:rowOff>114300</xdr:rowOff>
    </xdr:from>
    <xdr:to>
      <xdr:col>2</xdr:col>
      <xdr:colOff>2352675</xdr:colOff>
      <xdr:row>16</xdr:row>
      <xdr:rowOff>161925</xdr:rowOff>
    </xdr:to>
    <mc:AlternateContent xmlns:mc="http://schemas.openxmlformats.org/markup-compatibility/2006" xmlns:a14="http://schemas.microsoft.com/office/drawing/2010/main">
      <mc:Choice Requires="a14">
        <xdr:graphicFrame macro="">
          <xdr:nvGraphicFramePr>
            <xdr:cNvPr id="2" name="Rating Category">
              <a:extLst>
                <a:ext uri="{FF2B5EF4-FFF2-40B4-BE49-F238E27FC236}">
                  <a16:creationId xmlns:a16="http://schemas.microsoft.com/office/drawing/2014/main" id="{E67D8BDF-3EF7-4667-92B5-E72D0CA00762}"/>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8277225" y="685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5248275</xdr:colOff>
      <xdr:row>5</xdr:row>
      <xdr:rowOff>133350</xdr:rowOff>
    </xdr:from>
    <xdr:to>
      <xdr:col>1</xdr:col>
      <xdr:colOff>438150</xdr:colOff>
      <xdr:row>18</xdr:row>
      <xdr:rowOff>180975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6664E0BC-5A1A-433E-B28B-09A0FB7DD43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48275" y="1085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123825</xdr:colOff>
      <xdr:row>8</xdr:row>
      <xdr:rowOff>57150</xdr:rowOff>
    </xdr:from>
    <xdr:to>
      <xdr:col>2</xdr:col>
      <xdr:colOff>838200</xdr:colOff>
      <xdr:row>21</xdr:row>
      <xdr:rowOff>104775</xdr:rowOff>
    </xdr:to>
    <mc:AlternateContent xmlns:mc="http://schemas.openxmlformats.org/markup-compatibility/2006" xmlns:a14="http://schemas.microsoft.com/office/drawing/2010/main">
      <mc:Choice Requires="a14">
        <xdr:graphicFrame macro="">
          <xdr:nvGraphicFramePr>
            <xdr:cNvPr id="5" name="Rating">
              <a:extLst>
                <a:ext uri="{FF2B5EF4-FFF2-40B4-BE49-F238E27FC236}">
                  <a16:creationId xmlns:a16="http://schemas.microsoft.com/office/drawing/2014/main" id="{E4630C6B-6186-4BB4-845C-F8B056AD346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6762750" y="1581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4676775</xdr:colOff>
      <xdr:row>4</xdr:row>
      <xdr:rowOff>142875</xdr:rowOff>
    </xdr:from>
    <xdr:to>
      <xdr:col>1</xdr:col>
      <xdr:colOff>123825</xdr:colOff>
      <xdr:row>18</xdr:row>
      <xdr:rowOff>0</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67844578-BE0B-46C4-9F79-308FCAF3392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676775" y="904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504825</xdr:colOff>
      <xdr:row>4</xdr:row>
      <xdr:rowOff>9525</xdr:rowOff>
    </xdr:from>
    <xdr:to>
      <xdr:col>5</xdr:col>
      <xdr:colOff>504825</xdr:colOff>
      <xdr:row>17</xdr:row>
      <xdr:rowOff>57150</xdr:rowOff>
    </xdr:to>
    <mc:AlternateContent xmlns:mc="http://schemas.openxmlformats.org/markup-compatibility/2006" xmlns:a14="http://schemas.microsoft.com/office/drawing/2010/main">
      <mc:Choice Requires="a14">
        <xdr:graphicFrame macro="">
          <xdr:nvGraphicFramePr>
            <xdr:cNvPr id="6" name="Discount">
              <a:extLst>
                <a:ext uri="{FF2B5EF4-FFF2-40B4-BE49-F238E27FC236}">
                  <a16:creationId xmlns:a16="http://schemas.microsoft.com/office/drawing/2014/main" id="{BCFB2C88-4B1F-441B-BCED-824C2625E2B3}"/>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8734425" y="771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KUKUU" refreshedDate="46185.544068518517" createdVersion="6" refreshedVersion="6" minRefreshableVersion="3" recordCount="112" xr:uid="{0B1B504C-F146-493A-9185-58DEF50BCA88}">
  <cacheSource type="worksheet">
    <worksheetSource ref="A1:I113" sheet="Enriched_Jumia_Dataset"/>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Absolute Discount" numFmtId="3">
      <sharedItems containsSemiMixedTypes="0" containsString="0" containsNumber="1" containsInteger="1" minValue="24" maxValue="2585" count="103">
        <n v="575"/>
        <n v="472"/>
        <n v="724"/>
        <n v="919"/>
        <n v="616"/>
        <n v="291"/>
        <n v="713"/>
        <n v="592"/>
        <n v="1526"/>
        <n v="1329"/>
        <n v="200"/>
        <n v="510"/>
        <n v="483"/>
        <n v="359"/>
        <n v="819"/>
        <n v="352"/>
        <n v="165"/>
        <n v="1946"/>
        <n v="700"/>
        <n v="968"/>
        <n v="42"/>
        <n v="1360"/>
        <n v="470"/>
        <n v="500"/>
        <n v="2452"/>
        <n v="227"/>
        <n v="640"/>
        <n v="741"/>
        <n v="1880"/>
        <n v="197"/>
        <n v="1670"/>
        <n v="710"/>
        <n v="719"/>
        <n v="1070"/>
        <n v="189"/>
        <n v="267"/>
        <n v="122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sharedItems>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3">
        <s v="Medium Discount"/>
        <s v="High Discount"/>
        <s v="Low Discount"/>
      </sharedItems>
    </cacheField>
    <cacheField name="Review" numFmtId="1">
      <sharedItems containsString="0" containsBlank="1" containsNumber="1" containsInteger="1" minValue="1" maxValue="69" count="22">
        <n v="2"/>
        <n v="14"/>
        <n v="24"/>
        <n v="7"/>
        <n v="5"/>
        <n v="15"/>
        <n v="55"/>
        <n v="12"/>
        <n v="39"/>
        <n v="6"/>
        <n v="9"/>
        <n v="3"/>
        <n v="44"/>
        <n v="13"/>
        <m/>
        <n v="49"/>
        <n v="32"/>
        <n v="1"/>
        <n v="36"/>
        <n v="69"/>
        <n v="16"/>
        <n v="17"/>
      </sharedItems>
    </cacheField>
    <cacheField name="Rating"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Rating Category" numFmtId="1">
      <sharedItems count="4">
        <s v="Average"/>
        <s v="Excellent"/>
        <s v=""/>
        <s v="Poor"/>
      </sharedItems>
    </cacheField>
  </cacheFields>
  <extLst>
    <ext xmlns:x14="http://schemas.microsoft.com/office/spreadsheetml/2009/9/main" uri="{725AE2AE-9491-48be-B2B4-4EB974FC3084}">
      <x14:pivotCacheDefinition pivotCacheId="17631868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KUKUU" refreshedDate="46185.682368171299" createdVersion="6" refreshedVersion="6" minRefreshableVersion="3" recordCount="112" xr:uid="{D41BDFCF-8990-43BE-96A2-DA35F03A4152}">
  <cacheSource type="worksheet">
    <worksheetSource name="Table2"/>
  </cacheSource>
  <cacheFields count="6">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1">
      <sharedItems containsString="0" containsBlank="1" containsNumber="1" containsInteger="1" minValue="1" maxValue="69"/>
    </cacheField>
    <cacheField name="Rating"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x v="0"/>
    <x v="0"/>
    <x v="0"/>
    <x v="0"/>
    <x v="0"/>
  </r>
  <r>
    <x v="1"/>
    <n v="527"/>
    <n v="999"/>
    <x v="1"/>
    <x v="1"/>
    <x v="1"/>
    <x v="1"/>
    <x v="1"/>
    <x v="0"/>
  </r>
  <r>
    <x v="2"/>
    <n v="2199"/>
    <n v="2923"/>
    <x v="2"/>
    <x v="2"/>
    <x v="0"/>
    <x v="2"/>
    <x v="2"/>
    <x v="1"/>
  </r>
  <r>
    <x v="3"/>
    <n v="1580"/>
    <n v="2499"/>
    <x v="3"/>
    <x v="3"/>
    <x v="0"/>
    <x v="3"/>
    <x v="3"/>
    <x v="1"/>
  </r>
  <r>
    <x v="4"/>
    <n v="1740"/>
    <n v="2356"/>
    <x v="4"/>
    <x v="4"/>
    <x v="0"/>
    <x v="4"/>
    <x v="4"/>
    <x v="1"/>
  </r>
  <r>
    <x v="5"/>
    <n v="2999"/>
    <n v="3290"/>
    <x v="5"/>
    <x v="5"/>
    <x v="2"/>
    <x v="5"/>
    <x v="5"/>
    <x v="0"/>
  </r>
  <r>
    <x v="6"/>
    <n v="2319"/>
    <n v="3032"/>
    <x v="6"/>
    <x v="6"/>
    <x v="0"/>
    <x v="6"/>
    <x v="2"/>
    <x v="1"/>
  </r>
  <r>
    <x v="7"/>
    <n v="988"/>
    <n v="1580"/>
    <x v="7"/>
    <x v="3"/>
    <x v="0"/>
    <x v="0"/>
    <x v="5"/>
    <x v="0"/>
  </r>
  <r>
    <x v="8"/>
    <n v="1274"/>
    <n v="2800"/>
    <x v="8"/>
    <x v="7"/>
    <x v="1"/>
    <x v="4"/>
    <x v="4"/>
    <x v="1"/>
  </r>
  <r>
    <x v="9"/>
    <n v="1600"/>
    <n v="2929"/>
    <x v="9"/>
    <x v="8"/>
    <x v="1"/>
    <x v="4"/>
    <x v="6"/>
    <x v="0"/>
  </r>
  <r>
    <x v="10"/>
    <n v="799"/>
    <n v="999"/>
    <x v="10"/>
    <x v="9"/>
    <x v="0"/>
    <x v="7"/>
    <x v="1"/>
    <x v="0"/>
  </r>
  <r>
    <x v="11"/>
    <n v="990"/>
    <n v="1500"/>
    <x v="11"/>
    <x v="10"/>
    <x v="0"/>
    <x v="8"/>
    <x v="3"/>
    <x v="1"/>
  </r>
  <r>
    <x v="12"/>
    <n v="552"/>
    <n v="1035"/>
    <x v="12"/>
    <x v="1"/>
    <x v="1"/>
    <x v="7"/>
    <x v="4"/>
    <x v="1"/>
  </r>
  <r>
    <x v="13"/>
    <n v="501"/>
    <n v="860"/>
    <x v="13"/>
    <x v="11"/>
    <x v="1"/>
    <x v="9"/>
    <x v="0"/>
    <x v="0"/>
  </r>
  <r>
    <x v="14"/>
    <n v="1680"/>
    <n v="2499"/>
    <x v="14"/>
    <x v="12"/>
    <x v="0"/>
    <x v="10"/>
    <x v="7"/>
    <x v="0"/>
  </r>
  <r>
    <x v="15"/>
    <n v="332"/>
    <n v="684"/>
    <x v="15"/>
    <x v="13"/>
    <x v="1"/>
    <x v="0"/>
    <x v="8"/>
    <x v="1"/>
  </r>
  <r>
    <x v="16"/>
    <n v="195"/>
    <n v="360"/>
    <x v="16"/>
    <x v="14"/>
    <x v="1"/>
    <x v="0"/>
    <x v="8"/>
    <x v="1"/>
  </r>
  <r>
    <x v="17"/>
    <n v="2025"/>
    <n v="3971"/>
    <x v="17"/>
    <x v="15"/>
    <x v="1"/>
    <x v="11"/>
    <x v="8"/>
    <x v="1"/>
  </r>
  <r>
    <x v="18"/>
    <n v="2999"/>
    <n v="3699"/>
    <x v="18"/>
    <x v="16"/>
    <x v="2"/>
    <x v="4"/>
    <x v="2"/>
    <x v="1"/>
  </r>
  <r>
    <x v="19"/>
    <n v="998"/>
    <n v="1966"/>
    <x v="19"/>
    <x v="15"/>
    <x v="1"/>
    <x v="12"/>
    <x v="2"/>
    <x v="1"/>
  </r>
  <r>
    <x v="20"/>
    <n v="38"/>
    <n v="80"/>
    <x v="20"/>
    <x v="17"/>
    <x v="1"/>
    <x v="13"/>
    <x v="9"/>
    <x v="0"/>
  </r>
  <r>
    <x v="21"/>
    <n v="1860"/>
    <n v="3220"/>
    <x v="21"/>
    <x v="11"/>
    <x v="1"/>
    <x v="14"/>
    <x v="10"/>
    <x v="2"/>
  </r>
  <r>
    <x v="22"/>
    <n v="880"/>
    <n v="1350"/>
    <x v="22"/>
    <x v="18"/>
    <x v="0"/>
    <x v="9"/>
    <x v="5"/>
    <x v="0"/>
  </r>
  <r>
    <x v="23"/>
    <n v="1650"/>
    <n v="2150"/>
    <x v="23"/>
    <x v="19"/>
    <x v="0"/>
    <x v="1"/>
    <x v="11"/>
    <x v="0"/>
  </r>
  <r>
    <x v="24"/>
    <n v="2048"/>
    <n v="4500"/>
    <x v="24"/>
    <x v="20"/>
    <x v="1"/>
    <x v="3"/>
    <x v="12"/>
    <x v="0"/>
  </r>
  <r>
    <x v="25"/>
    <n v="420"/>
    <n v="647"/>
    <x v="25"/>
    <x v="18"/>
    <x v="0"/>
    <x v="15"/>
    <x v="2"/>
    <x v="1"/>
  </r>
  <r>
    <x v="26"/>
    <n v="2880"/>
    <n v="3520"/>
    <x v="26"/>
    <x v="21"/>
    <x v="2"/>
    <x v="7"/>
    <x v="6"/>
    <x v="0"/>
  </r>
  <r>
    <x v="27"/>
    <n v="1350"/>
    <n v="1990"/>
    <x v="26"/>
    <x v="22"/>
    <x v="0"/>
    <x v="13"/>
    <x v="6"/>
    <x v="0"/>
  </r>
  <r>
    <x v="28"/>
    <n v="1758"/>
    <n v="2499"/>
    <x v="27"/>
    <x v="23"/>
    <x v="0"/>
    <x v="0"/>
    <x v="1"/>
    <x v="0"/>
  </r>
  <r>
    <x v="29"/>
    <n v="2200"/>
    <n v="4080"/>
    <x v="28"/>
    <x v="14"/>
    <x v="1"/>
    <x v="14"/>
    <x v="10"/>
    <x v="2"/>
  </r>
  <r>
    <x v="30"/>
    <n v="185"/>
    <n v="382"/>
    <x v="29"/>
    <x v="24"/>
    <x v="1"/>
    <x v="10"/>
    <x v="12"/>
    <x v="0"/>
  </r>
  <r>
    <x v="31"/>
    <n v="980"/>
    <n v="1490"/>
    <x v="11"/>
    <x v="10"/>
    <x v="0"/>
    <x v="7"/>
    <x v="3"/>
    <x v="1"/>
  </r>
  <r>
    <x v="32"/>
    <n v="1820"/>
    <n v="3490"/>
    <x v="30"/>
    <x v="25"/>
    <x v="1"/>
    <x v="10"/>
    <x v="12"/>
    <x v="0"/>
  </r>
  <r>
    <x v="33"/>
    <n v="1940"/>
    <n v="2650"/>
    <x v="31"/>
    <x v="26"/>
    <x v="0"/>
    <x v="0"/>
    <x v="3"/>
    <x v="1"/>
  </r>
  <r>
    <x v="34"/>
    <n v="1980"/>
    <n v="2699"/>
    <x v="32"/>
    <x v="26"/>
    <x v="0"/>
    <x v="16"/>
    <x v="0"/>
    <x v="0"/>
  </r>
  <r>
    <x v="35"/>
    <n v="1620"/>
    <n v="2690"/>
    <x v="33"/>
    <x v="27"/>
    <x v="0"/>
    <x v="17"/>
    <x v="8"/>
    <x v="1"/>
  </r>
  <r>
    <x v="36"/>
    <n v="171"/>
    <n v="360"/>
    <x v="34"/>
    <x v="17"/>
    <x v="1"/>
    <x v="0"/>
    <x v="8"/>
    <x v="1"/>
  </r>
  <r>
    <x v="37"/>
    <n v="389"/>
    <n v="656"/>
    <x v="35"/>
    <x v="28"/>
    <x v="1"/>
    <x v="18"/>
    <x v="12"/>
    <x v="0"/>
  </r>
  <r>
    <x v="38"/>
    <n v="1980"/>
    <n v="3200"/>
    <x v="36"/>
    <x v="0"/>
    <x v="0"/>
    <x v="0"/>
    <x v="0"/>
    <x v="0"/>
  </r>
  <r>
    <x v="39"/>
    <n v="2750"/>
    <n v="4471"/>
    <x v="37"/>
    <x v="0"/>
    <x v="0"/>
    <x v="14"/>
    <x v="10"/>
    <x v="2"/>
  </r>
  <r>
    <x v="40"/>
    <n v="475"/>
    <n v="931"/>
    <x v="38"/>
    <x v="15"/>
    <x v="1"/>
    <x v="14"/>
    <x v="10"/>
    <x v="2"/>
  </r>
  <r>
    <x v="41"/>
    <n v="238"/>
    <n v="476"/>
    <x v="39"/>
    <x v="29"/>
    <x v="1"/>
    <x v="14"/>
    <x v="10"/>
    <x v="2"/>
  </r>
  <r>
    <x v="42"/>
    <n v="610"/>
    <n v="1060"/>
    <x v="40"/>
    <x v="11"/>
    <x v="1"/>
    <x v="14"/>
    <x v="10"/>
    <x v="2"/>
  </r>
  <r>
    <x v="43"/>
    <n v="2132"/>
    <n v="2169"/>
    <x v="41"/>
    <x v="30"/>
    <x v="2"/>
    <x v="14"/>
    <x v="10"/>
    <x v="2"/>
  </r>
  <r>
    <x v="44"/>
    <n v="999"/>
    <n v="2000"/>
    <x v="42"/>
    <x v="29"/>
    <x v="1"/>
    <x v="14"/>
    <x v="10"/>
    <x v="2"/>
  </r>
  <r>
    <x v="45"/>
    <n v="1190"/>
    <n v="1785"/>
    <x v="43"/>
    <x v="12"/>
    <x v="0"/>
    <x v="14"/>
    <x v="10"/>
    <x v="2"/>
  </r>
  <r>
    <x v="46"/>
    <n v="671"/>
    <n v="1316"/>
    <x v="44"/>
    <x v="15"/>
    <x v="1"/>
    <x v="14"/>
    <x v="10"/>
    <x v="2"/>
  </r>
  <r>
    <x v="47"/>
    <n v="1200"/>
    <n v="1950"/>
    <x v="45"/>
    <x v="0"/>
    <x v="0"/>
    <x v="14"/>
    <x v="10"/>
    <x v="2"/>
  </r>
  <r>
    <x v="48"/>
    <n v="199"/>
    <n v="504"/>
    <x v="46"/>
    <x v="31"/>
    <x v="1"/>
    <x v="14"/>
    <x v="10"/>
    <x v="2"/>
  </r>
  <r>
    <x v="49"/>
    <n v="299"/>
    <n v="600"/>
    <x v="47"/>
    <x v="29"/>
    <x v="1"/>
    <x v="14"/>
    <x v="10"/>
    <x v="2"/>
  </r>
  <r>
    <x v="50"/>
    <n v="1660"/>
    <n v="1699"/>
    <x v="48"/>
    <x v="30"/>
    <x v="2"/>
    <x v="14"/>
    <x v="10"/>
    <x v="2"/>
  </r>
  <r>
    <x v="51"/>
    <n v="299"/>
    <n v="384"/>
    <x v="49"/>
    <x v="32"/>
    <x v="0"/>
    <x v="14"/>
    <x v="10"/>
    <x v="2"/>
  </r>
  <r>
    <x v="52"/>
    <n v="1459"/>
    <n v="1499"/>
    <x v="50"/>
    <x v="33"/>
    <x v="2"/>
    <x v="14"/>
    <x v="10"/>
    <x v="2"/>
  </r>
  <r>
    <x v="53"/>
    <n v="799"/>
    <n v="1343"/>
    <x v="51"/>
    <x v="28"/>
    <x v="1"/>
    <x v="14"/>
    <x v="10"/>
    <x v="2"/>
  </r>
  <r>
    <x v="54"/>
    <n v="499"/>
    <n v="900"/>
    <x v="52"/>
    <x v="8"/>
    <x v="1"/>
    <x v="14"/>
    <x v="10"/>
    <x v="2"/>
  </r>
  <r>
    <x v="55"/>
    <n v="699"/>
    <n v="1343"/>
    <x v="53"/>
    <x v="25"/>
    <x v="1"/>
    <x v="14"/>
    <x v="10"/>
    <x v="2"/>
  </r>
  <r>
    <x v="56"/>
    <n v="799"/>
    <n v="1567"/>
    <x v="54"/>
    <x v="15"/>
    <x v="1"/>
    <x v="14"/>
    <x v="10"/>
    <x v="2"/>
  </r>
  <r>
    <x v="57"/>
    <n v="2799"/>
    <n v="3810"/>
    <x v="55"/>
    <x v="26"/>
    <x v="0"/>
    <x v="14"/>
    <x v="10"/>
    <x v="2"/>
  </r>
  <r>
    <x v="54"/>
    <n v="399"/>
    <n v="896"/>
    <x v="56"/>
    <x v="7"/>
    <x v="1"/>
    <x v="14"/>
    <x v="10"/>
    <x v="2"/>
  </r>
  <r>
    <x v="58"/>
    <n v="2170"/>
    <n v="2500"/>
    <x v="57"/>
    <x v="34"/>
    <x v="2"/>
    <x v="9"/>
    <x v="13"/>
    <x v="3"/>
  </r>
  <r>
    <x v="59"/>
    <n v="458"/>
    <n v="986"/>
    <x v="58"/>
    <x v="20"/>
    <x v="1"/>
    <x v="17"/>
    <x v="14"/>
    <x v="0"/>
  </r>
  <r>
    <x v="60"/>
    <n v="2115"/>
    <n v="4700"/>
    <x v="59"/>
    <x v="7"/>
    <x v="1"/>
    <x v="13"/>
    <x v="15"/>
    <x v="3"/>
  </r>
  <r>
    <x v="61"/>
    <n v="445"/>
    <n v="873"/>
    <x v="60"/>
    <x v="15"/>
    <x v="1"/>
    <x v="19"/>
    <x v="16"/>
    <x v="3"/>
  </r>
  <r>
    <x v="62"/>
    <n v="325"/>
    <n v="680"/>
    <x v="61"/>
    <x v="24"/>
    <x v="1"/>
    <x v="5"/>
    <x v="17"/>
    <x v="3"/>
  </r>
  <r>
    <x v="63"/>
    <n v="1220"/>
    <n v="1555"/>
    <x v="62"/>
    <x v="32"/>
    <x v="0"/>
    <x v="20"/>
    <x v="18"/>
    <x v="3"/>
  </r>
  <r>
    <x v="64"/>
    <n v="990"/>
    <n v="1814"/>
    <x v="63"/>
    <x v="8"/>
    <x v="1"/>
    <x v="9"/>
    <x v="19"/>
    <x v="3"/>
  </r>
  <r>
    <x v="65"/>
    <n v="1000"/>
    <n v="2000"/>
    <x v="64"/>
    <x v="29"/>
    <x v="1"/>
    <x v="3"/>
    <x v="20"/>
    <x v="3"/>
  </r>
  <r>
    <x v="66"/>
    <n v="3750"/>
    <n v="6143"/>
    <x v="65"/>
    <x v="35"/>
    <x v="0"/>
    <x v="4"/>
    <x v="14"/>
    <x v="0"/>
  </r>
  <r>
    <x v="67"/>
    <n v="382"/>
    <n v="700"/>
    <x v="66"/>
    <x v="8"/>
    <x v="1"/>
    <x v="21"/>
    <x v="21"/>
    <x v="3"/>
  </r>
  <r>
    <x v="68"/>
    <n v="2300"/>
    <n v="3240"/>
    <x v="67"/>
    <x v="36"/>
    <x v="0"/>
    <x v="4"/>
    <x v="14"/>
    <x v="0"/>
  </r>
  <r>
    <x v="69"/>
    <n v="345"/>
    <n v="602"/>
    <x v="68"/>
    <x v="37"/>
    <x v="1"/>
    <x v="9"/>
    <x v="20"/>
    <x v="3"/>
  </r>
  <r>
    <x v="70"/>
    <n v="509"/>
    <n v="899"/>
    <x v="69"/>
    <x v="37"/>
    <x v="1"/>
    <x v="4"/>
    <x v="14"/>
    <x v="0"/>
  </r>
  <r>
    <x v="71"/>
    <n v="968"/>
    <n v="1814"/>
    <x v="70"/>
    <x v="1"/>
    <x v="1"/>
    <x v="9"/>
    <x v="19"/>
    <x v="3"/>
  </r>
  <r>
    <x v="72"/>
    <n v="1570"/>
    <n v="2988"/>
    <x v="71"/>
    <x v="1"/>
    <x v="1"/>
    <x v="3"/>
    <x v="15"/>
    <x v="3"/>
  </r>
  <r>
    <x v="73"/>
    <n v="790"/>
    <n v="1485"/>
    <x v="72"/>
    <x v="1"/>
    <x v="1"/>
    <x v="14"/>
    <x v="10"/>
    <x v="2"/>
  </r>
  <r>
    <x v="74"/>
    <n v="690"/>
    <n v="1200"/>
    <x v="11"/>
    <x v="37"/>
    <x v="1"/>
    <x v="14"/>
    <x v="10"/>
    <x v="2"/>
  </r>
  <r>
    <x v="75"/>
    <n v="1732"/>
    <n v="1799"/>
    <x v="73"/>
    <x v="38"/>
    <x v="2"/>
    <x v="14"/>
    <x v="10"/>
    <x v="2"/>
  </r>
  <r>
    <x v="76"/>
    <n v="230"/>
    <n v="450"/>
    <x v="74"/>
    <x v="15"/>
    <x v="1"/>
    <x v="14"/>
    <x v="10"/>
    <x v="2"/>
  </r>
  <r>
    <x v="77"/>
    <n v="1189"/>
    <n v="2199"/>
    <x v="75"/>
    <x v="14"/>
    <x v="1"/>
    <x v="17"/>
    <x v="14"/>
    <x v="0"/>
  </r>
  <r>
    <x v="78"/>
    <n v="979"/>
    <n v="1920"/>
    <x v="76"/>
    <x v="15"/>
    <x v="1"/>
    <x v="17"/>
    <x v="8"/>
    <x v="1"/>
  </r>
  <r>
    <x v="79"/>
    <n v="1460"/>
    <n v="2290"/>
    <x v="77"/>
    <x v="39"/>
    <x v="0"/>
    <x v="14"/>
    <x v="10"/>
    <x v="2"/>
  </r>
  <r>
    <x v="80"/>
    <n v="1666"/>
    <n v="1699"/>
    <x v="78"/>
    <x v="30"/>
    <x v="2"/>
    <x v="14"/>
    <x v="10"/>
    <x v="2"/>
  </r>
  <r>
    <x v="81"/>
    <n v="330"/>
    <n v="647"/>
    <x v="79"/>
    <x v="15"/>
    <x v="1"/>
    <x v="17"/>
    <x v="5"/>
    <x v="0"/>
  </r>
  <r>
    <x v="48"/>
    <n v="176"/>
    <n v="345"/>
    <x v="80"/>
    <x v="15"/>
    <x v="1"/>
    <x v="14"/>
    <x v="10"/>
    <x v="2"/>
  </r>
  <r>
    <x v="82"/>
    <n v="1466"/>
    <n v="1699"/>
    <x v="81"/>
    <x v="40"/>
    <x v="2"/>
    <x v="14"/>
    <x v="10"/>
    <x v="2"/>
  </r>
  <r>
    <x v="83"/>
    <n v="274"/>
    <n v="537"/>
    <x v="82"/>
    <x v="15"/>
    <x v="1"/>
    <x v="14"/>
    <x v="10"/>
    <x v="2"/>
  </r>
  <r>
    <x v="84"/>
    <n v="799"/>
    <n v="900"/>
    <x v="83"/>
    <x v="41"/>
    <x v="2"/>
    <x v="14"/>
    <x v="10"/>
    <x v="2"/>
  </r>
  <r>
    <x v="56"/>
    <n v="657"/>
    <n v="1288"/>
    <x v="84"/>
    <x v="15"/>
    <x v="1"/>
    <x v="14"/>
    <x v="10"/>
    <x v="2"/>
  </r>
  <r>
    <x v="85"/>
    <n v="1468"/>
    <n v="1699"/>
    <x v="85"/>
    <x v="40"/>
    <x v="2"/>
    <x v="14"/>
    <x v="10"/>
    <x v="2"/>
  </r>
  <r>
    <x v="86"/>
    <n v="630"/>
    <n v="1100"/>
    <x v="22"/>
    <x v="37"/>
    <x v="1"/>
    <x v="14"/>
    <x v="10"/>
    <x v="2"/>
  </r>
  <r>
    <x v="87"/>
    <n v="850"/>
    <n v="1700"/>
    <x v="86"/>
    <x v="29"/>
    <x v="1"/>
    <x v="14"/>
    <x v="10"/>
    <x v="2"/>
  </r>
  <r>
    <x v="88"/>
    <n v="1300"/>
    <n v="2500"/>
    <x v="87"/>
    <x v="25"/>
    <x v="1"/>
    <x v="14"/>
    <x v="10"/>
    <x v="2"/>
  </r>
  <r>
    <x v="89"/>
    <n v="105"/>
    <n v="200"/>
    <x v="88"/>
    <x v="25"/>
    <x v="1"/>
    <x v="14"/>
    <x v="10"/>
    <x v="2"/>
  </r>
  <r>
    <x v="90"/>
    <n v="899"/>
    <n v="1699"/>
    <x v="89"/>
    <x v="1"/>
    <x v="1"/>
    <x v="14"/>
    <x v="10"/>
    <x v="2"/>
  </r>
  <r>
    <x v="91"/>
    <n v="1200"/>
    <n v="2400"/>
    <x v="87"/>
    <x v="29"/>
    <x v="1"/>
    <x v="14"/>
    <x v="10"/>
    <x v="2"/>
  </r>
  <r>
    <x v="92"/>
    <n v="1526"/>
    <n v="1660"/>
    <x v="90"/>
    <x v="42"/>
    <x v="2"/>
    <x v="14"/>
    <x v="10"/>
    <x v="2"/>
  </r>
  <r>
    <x v="93"/>
    <n v="1462"/>
    <n v="1499"/>
    <x v="41"/>
    <x v="30"/>
    <x v="2"/>
    <x v="14"/>
    <x v="10"/>
    <x v="2"/>
  </r>
  <r>
    <x v="94"/>
    <n v="248"/>
    <n v="486"/>
    <x v="39"/>
    <x v="15"/>
    <x v="1"/>
    <x v="14"/>
    <x v="10"/>
    <x v="2"/>
  </r>
  <r>
    <x v="95"/>
    <n v="3546"/>
    <n v="3699"/>
    <x v="91"/>
    <x v="38"/>
    <x v="2"/>
    <x v="14"/>
    <x v="10"/>
    <x v="2"/>
  </r>
  <r>
    <x v="96"/>
    <n v="525"/>
    <n v="1029"/>
    <x v="92"/>
    <x v="15"/>
    <x v="1"/>
    <x v="14"/>
    <x v="10"/>
    <x v="2"/>
  </r>
  <r>
    <x v="97"/>
    <n v="1080"/>
    <n v="1874"/>
    <x v="93"/>
    <x v="11"/>
    <x v="1"/>
    <x v="14"/>
    <x v="10"/>
    <x v="2"/>
  </r>
  <r>
    <x v="98"/>
    <n v="3640"/>
    <n v="4588"/>
    <x v="94"/>
    <x v="43"/>
    <x v="0"/>
    <x v="17"/>
    <x v="8"/>
    <x v="1"/>
  </r>
  <r>
    <x v="99"/>
    <n v="1420"/>
    <n v="2420"/>
    <x v="64"/>
    <x v="28"/>
    <x v="1"/>
    <x v="14"/>
    <x v="10"/>
    <x v="2"/>
  </r>
  <r>
    <x v="100"/>
    <n v="1875"/>
    <n v="1899"/>
    <x v="95"/>
    <x v="44"/>
    <x v="2"/>
    <x v="14"/>
    <x v="10"/>
    <x v="2"/>
  </r>
  <r>
    <x v="101"/>
    <n v="198"/>
    <n v="260"/>
    <x v="96"/>
    <x v="6"/>
    <x v="0"/>
    <x v="14"/>
    <x v="10"/>
    <x v="2"/>
  </r>
  <r>
    <x v="102"/>
    <n v="1150"/>
    <n v="1737"/>
    <x v="97"/>
    <x v="10"/>
    <x v="0"/>
    <x v="14"/>
    <x v="10"/>
    <x v="2"/>
  </r>
  <r>
    <x v="103"/>
    <n v="1190"/>
    <n v="1810"/>
    <x v="98"/>
    <x v="10"/>
    <x v="0"/>
    <x v="14"/>
    <x v="10"/>
    <x v="2"/>
  </r>
  <r>
    <x v="104"/>
    <n v="1658"/>
    <n v="1699"/>
    <x v="99"/>
    <x v="30"/>
    <x v="2"/>
    <x v="14"/>
    <x v="10"/>
    <x v="2"/>
  </r>
  <r>
    <x v="105"/>
    <n v="1768"/>
    <n v="1799"/>
    <x v="100"/>
    <x v="30"/>
    <x v="2"/>
    <x v="14"/>
    <x v="10"/>
    <x v="2"/>
  </r>
  <r>
    <x v="106"/>
    <n v="199"/>
    <n v="553"/>
    <x v="101"/>
    <x v="45"/>
    <x v="1"/>
    <x v="14"/>
    <x v="10"/>
    <x v="2"/>
  </r>
  <r>
    <x v="107"/>
    <n v="450"/>
    <n v="900"/>
    <x v="40"/>
    <x v="29"/>
    <x v="1"/>
    <x v="17"/>
    <x v="22"/>
    <x v="3"/>
  </r>
  <r>
    <x v="108"/>
    <n v="169"/>
    <n v="320"/>
    <x v="102"/>
    <x v="1"/>
    <x v="1"/>
    <x v="14"/>
    <x v="1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0.38"/>
    <n v="2"/>
    <x v="0"/>
  </r>
  <r>
    <x v="1"/>
    <n v="527"/>
    <n v="999"/>
    <n v="0.47"/>
    <n v="14"/>
    <x v="1"/>
  </r>
  <r>
    <x v="2"/>
    <n v="2199"/>
    <n v="2923"/>
    <n v="0.25"/>
    <n v="24"/>
    <x v="2"/>
  </r>
  <r>
    <x v="3"/>
    <n v="1580"/>
    <n v="2499"/>
    <n v="0.37"/>
    <n v="7"/>
    <x v="3"/>
  </r>
  <r>
    <x v="4"/>
    <n v="1740"/>
    <n v="2356"/>
    <n v="0.26"/>
    <n v="5"/>
    <x v="4"/>
  </r>
  <r>
    <x v="5"/>
    <n v="2999"/>
    <n v="3290"/>
    <n v="0.09"/>
    <n v="15"/>
    <x v="5"/>
  </r>
  <r>
    <x v="6"/>
    <n v="2319"/>
    <n v="3032"/>
    <n v="0.24"/>
    <n v="55"/>
    <x v="2"/>
  </r>
  <r>
    <x v="7"/>
    <n v="988"/>
    <n v="1580"/>
    <n v="0.37"/>
    <n v="2"/>
    <x v="5"/>
  </r>
  <r>
    <x v="8"/>
    <n v="1274"/>
    <n v="2800"/>
    <n v="0.55000000000000004"/>
    <n v="5"/>
    <x v="4"/>
  </r>
  <r>
    <x v="9"/>
    <n v="1600"/>
    <n v="2929"/>
    <n v="0.45"/>
    <n v="5"/>
    <x v="6"/>
  </r>
  <r>
    <x v="10"/>
    <n v="799"/>
    <n v="999"/>
    <n v="0.2"/>
    <n v="12"/>
    <x v="1"/>
  </r>
  <r>
    <x v="11"/>
    <n v="990"/>
    <n v="1500"/>
    <n v="0.34"/>
    <n v="39"/>
    <x v="3"/>
  </r>
  <r>
    <x v="12"/>
    <n v="552"/>
    <n v="1035"/>
    <n v="0.47"/>
    <n v="12"/>
    <x v="4"/>
  </r>
  <r>
    <x v="13"/>
    <n v="501"/>
    <n v="860"/>
    <n v="0.42"/>
    <n v="6"/>
    <x v="0"/>
  </r>
  <r>
    <x v="14"/>
    <n v="1680"/>
    <n v="2499"/>
    <n v="0.33"/>
    <n v="9"/>
    <x v="7"/>
  </r>
  <r>
    <x v="15"/>
    <n v="332"/>
    <n v="684"/>
    <n v="0.51"/>
    <n v="2"/>
    <x v="8"/>
  </r>
  <r>
    <x v="16"/>
    <n v="195"/>
    <n v="360"/>
    <n v="0.46"/>
    <n v="2"/>
    <x v="8"/>
  </r>
  <r>
    <x v="17"/>
    <n v="2025"/>
    <n v="3971"/>
    <n v="0.49"/>
    <n v="3"/>
    <x v="8"/>
  </r>
  <r>
    <x v="18"/>
    <n v="2999"/>
    <n v="3699"/>
    <n v="0.19"/>
    <n v="5"/>
    <x v="2"/>
  </r>
  <r>
    <x v="19"/>
    <n v="998"/>
    <n v="1966"/>
    <n v="0.49"/>
    <n v="44"/>
    <x v="2"/>
  </r>
  <r>
    <x v="20"/>
    <n v="38"/>
    <n v="80"/>
    <n v="0.53"/>
    <n v="13"/>
    <x v="9"/>
  </r>
  <r>
    <x v="21"/>
    <n v="1860"/>
    <n v="3220"/>
    <n v="0.42"/>
    <m/>
    <x v="10"/>
  </r>
  <r>
    <x v="22"/>
    <n v="880"/>
    <n v="1350"/>
    <n v="0.35"/>
    <n v="6"/>
    <x v="5"/>
  </r>
  <r>
    <x v="23"/>
    <n v="1650"/>
    <n v="2150"/>
    <n v="0.23"/>
    <n v="14"/>
    <x v="11"/>
  </r>
  <r>
    <x v="24"/>
    <n v="2048"/>
    <n v="4500"/>
    <n v="0.54"/>
    <n v="7"/>
    <x v="12"/>
  </r>
  <r>
    <x v="25"/>
    <n v="420"/>
    <n v="647"/>
    <n v="0.35"/>
    <n v="49"/>
    <x v="2"/>
  </r>
  <r>
    <x v="26"/>
    <n v="2880"/>
    <n v="3520"/>
    <n v="0.18"/>
    <n v="12"/>
    <x v="6"/>
  </r>
  <r>
    <x v="27"/>
    <n v="1350"/>
    <n v="1990"/>
    <n v="0.32"/>
    <n v="13"/>
    <x v="6"/>
  </r>
  <r>
    <x v="28"/>
    <n v="1758"/>
    <n v="2499"/>
    <n v="0.3"/>
    <n v="2"/>
    <x v="1"/>
  </r>
  <r>
    <x v="29"/>
    <n v="2200"/>
    <n v="4080"/>
    <n v="0.46"/>
    <m/>
    <x v="10"/>
  </r>
  <r>
    <x v="30"/>
    <n v="185"/>
    <n v="382"/>
    <n v="0.52"/>
    <n v="9"/>
    <x v="12"/>
  </r>
  <r>
    <x v="31"/>
    <n v="980"/>
    <n v="1490"/>
    <n v="0.34"/>
    <n v="12"/>
    <x v="3"/>
  </r>
  <r>
    <x v="32"/>
    <n v="1820"/>
    <n v="3490"/>
    <n v="0.48"/>
    <n v="9"/>
    <x v="12"/>
  </r>
  <r>
    <x v="33"/>
    <n v="1940"/>
    <n v="2650"/>
    <n v="0.27"/>
    <n v="2"/>
    <x v="3"/>
  </r>
  <r>
    <x v="34"/>
    <n v="1980"/>
    <n v="2699"/>
    <n v="0.27"/>
    <n v="32"/>
    <x v="0"/>
  </r>
  <r>
    <x v="35"/>
    <n v="1620"/>
    <n v="2690"/>
    <n v="0.4"/>
    <n v="1"/>
    <x v="8"/>
  </r>
  <r>
    <x v="36"/>
    <n v="171"/>
    <n v="360"/>
    <n v="0.53"/>
    <n v="2"/>
    <x v="8"/>
  </r>
  <r>
    <x v="37"/>
    <n v="389"/>
    <n v="656"/>
    <n v="0.41"/>
    <n v="36"/>
    <x v="12"/>
  </r>
  <r>
    <x v="38"/>
    <n v="1980"/>
    <n v="3200"/>
    <n v="0.38"/>
    <n v="2"/>
    <x v="0"/>
  </r>
  <r>
    <x v="39"/>
    <n v="2750"/>
    <n v="4471"/>
    <n v="0.38"/>
    <m/>
    <x v="10"/>
  </r>
  <r>
    <x v="40"/>
    <n v="475"/>
    <n v="931"/>
    <n v="0.49"/>
    <m/>
    <x v="10"/>
  </r>
  <r>
    <x v="41"/>
    <n v="238"/>
    <n v="476"/>
    <n v="0.5"/>
    <m/>
    <x v="10"/>
  </r>
  <r>
    <x v="42"/>
    <n v="610"/>
    <n v="1060"/>
    <n v="0.42"/>
    <m/>
    <x v="10"/>
  </r>
  <r>
    <x v="43"/>
    <n v="2132"/>
    <n v="2169"/>
    <n v="0.02"/>
    <m/>
    <x v="10"/>
  </r>
  <r>
    <x v="44"/>
    <n v="999"/>
    <n v="2000"/>
    <n v="0.5"/>
    <m/>
    <x v="10"/>
  </r>
  <r>
    <x v="45"/>
    <n v="1190"/>
    <n v="1785"/>
    <n v="0.33"/>
    <m/>
    <x v="10"/>
  </r>
  <r>
    <x v="46"/>
    <n v="671"/>
    <n v="1316"/>
    <n v="0.49"/>
    <m/>
    <x v="10"/>
  </r>
  <r>
    <x v="47"/>
    <n v="1200"/>
    <n v="1950"/>
    <n v="0.38"/>
    <m/>
    <x v="10"/>
  </r>
  <r>
    <x v="48"/>
    <n v="199"/>
    <n v="504"/>
    <n v="0.61"/>
    <m/>
    <x v="10"/>
  </r>
  <r>
    <x v="49"/>
    <n v="299"/>
    <n v="600"/>
    <n v="0.5"/>
    <m/>
    <x v="10"/>
  </r>
  <r>
    <x v="50"/>
    <n v="1660"/>
    <n v="1699"/>
    <n v="0.02"/>
    <m/>
    <x v="10"/>
  </r>
  <r>
    <x v="51"/>
    <n v="299"/>
    <n v="384"/>
    <n v="0.22"/>
    <m/>
    <x v="10"/>
  </r>
  <r>
    <x v="52"/>
    <n v="1459"/>
    <n v="1499"/>
    <n v="0.03"/>
    <m/>
    <x v="10"/>
  </r>
  <r>
    <x v="53"/>
    <n v="799"/>
    <n v="1343"/>
    <n v="0.41"/>
    <m/>
    <x v="10"/>
  </r>
  <r>
    <x v="54"/>
    <n v="499"/>
    <n v="900"/>
    <n v="0.45"/>
    <m/>
    <x v="10"/>
  </r>
  <r>
    <x v="55"/>
    <n v="699"/>
    <n v="1343"/>
    <n v="0.48"/>
    <m/>
    <x v="10"/>
  </r>
  <r>
    <x v="56"/>
    <n v="799"/>
    <n v="1567"/>
    <n v="0.49"/>
    <m/>
    <x v="10"/>
  </r>
  <r>
    <x v="57"/>
    <n v="2799"/>
    <n v="3810"/>
    <n v="0.27"/>
    <m/>
    <x v="10"/>
  </r>
  <r>
    <x v="54"/>
    <n v="399"/>
    <n v="896"/>
    <n v="0.55000000000000004"/>
    <m/>
    <x v="10"/>
  </r>
  <r>
    <x v="58"/>
    <n v="2170"/>
    <n v="2500"/>
    <n v="0.13"/>
    <n v="6"/>
    <x v="13"/>
  </r>
  <r>
    <x v="59"/>
    <n v="458"/>
    <n v="986"/>
    <n v="0.54"/>
    <n v="1"/>
    <x v="14"/>
  </r>
  <r>
    <x v="60"/>
    <n v="2115"/>
    <n v="4700"/>
    <n v="0.55000000000000004"/>
    <n v="13"/>
    <x v="15"/>
  </r>
  <r>
    <x v="61"/>
    <n v="445"/>
    <n v="873"/>
    <n v="0.49"/>
    <n v="69"/>
    <x v="16"/>
  </r>
  <r>
    <x v="62"/>
    <n v="325"/>
    <n v="680"/>
    <n v="0.52"/>
    <n v="15"/>
    <x v="17"/>
  </r>
  <r>
    <x v="63"/>
    <n v="1220"/>
    <n v="1555"/>
    <n v="0.22"/>
    <n v="16"/>
    <x v="18"/>
  </r>
  <r>
    <x v="64"/>
    <n v="990"/>
    <n v="1814"/>
    <n v="0.45"/>
    <n v="6"/>
    <x v="19"/>
  </r>
  <r>
    <x v="65"/>
    <n v="1000"/>
    <n v="2000"/>
    <n v="0.5"/>
    <n v="7"/>
    <x v="20"/>
  </r>
  <r>
    <x v="66"/>
    <n v="3750"/>
    <n v="6143"/>
    <n v="0.39"/>
    <n v="5"/>
    <x v="14"/>
  </r>
  <r>
    <x v="67"/>
    <n v="382"/>
    <n v="700"/>
    <n v="0.45"/>
    <n v="17"/>
    <x v="21"/>
  </r>
  <r>
    <x v="68"/>
    <n v="2300"/>
    <n v="3240"/>
    <n v="0.28999999999999998"/>
    <n v="5"/>
    <x v="14"/>
  </r>
  <r>
    <x v="69"/>
    <n v="345"/>
    <n v="602"/>
    <n v="0.43"/>
    <n v="6"/>
    <x v="20"/>
  </r>
  <r>
    <x v="70"/>
    <n v="509"/>
    <n v="899"/>
    <n v="0.43"/>
    <n v="5"/>
    <x v="14"/>
  </r>
  <r>
    <x v="71"/>
    <n v="968"/>
    <n v="1814"/>
    <n v="0.47"/>
    <n v="6"/>
    <x v="19"/>
  </r>
  <r>
    <x v="72"/>
    <n v="1570"/>
    <n v="2988"/>
    <n v="0.47"/>
    <n v="7"/>
    <x v="15"/>
  </r>
  <r>
    <x v="73"/>
    <n v="790"/>
    <n v="1485"/>
    <n v="0.47"/>
    <m/>
    <x v="10"/>
  </r>
  <r>
    <x v="74"/>
    <n v="690"/>
    <n v="1200"/>
    <n v="0.43"/>
    <m/>
    <x v="10"/>
  </r>
  <r>
    <x v="75"/>
    <n v="1732"/>
    <n v="1799"/>
    <n v="0.04"/>
    <m/>
    <x v="10"/>
  </r>
  <r>
    <x v="76"/>
    <n v="230"/>
    <n v="450"/>
    <n v="0.49"/>
    <m/>
    <x v="10"/>
  </r>
  <r>
    <x v="77"/>
    <n v="1189"/>
    <n v="2199"/>
    <n v="0.46"/>
    <n v="1"/>
    <x v="14"/>
  </r>
  <r>
    <x v="78"/>
    <n v="979"/>
    <n v="1920"/>
    <n v="0.49"/>
    <n v="1"/>
    <x v="8"/>
  </r>
  <r>
    <x v="79"/>
    <n v="1460"/>
    <n v="2290"/>
    <n v="0.36"/>
    <m/>
    <x v="10"/>
  </r>
  <r>
    <x v="80"/>
    <n v="1666"/>
    <n v="1699"/>
    <n v="0.02"/>
    <m/>
    <x v="10"/>
  </r>
  <r>
    <x v="81"/>
    <n v="330"/>
    <n v="647"/>
    <n v="0.49"/>
    <n v="1"/>
    <x v="5"/>
  </r>
  <r>
    <x v="48"/>
    <n v="176"/>
    <n v="345"/>
    <n v="0.49"/>
    <m/>
    <x v="10"/>
  </r>
  <r>
    <x v="82"/>
    <n v="1466"/>
    <n v="1699"/>
    <n v="0.14000000000000001"/>
    <m/>
    <x v="10"/>
  </r>
  <r>
    <x v="83"/>
    <n v="274"/>
    <n v="537"/>
    <n v="0.49"/>
    <m/>
    <x v="10"/>
  </r>
  <r>
    <x v="84"/>
    <n v="799"/>
    <n v="900"/>
    <n v="0.11"/>
    <m/>
    <x v="10"/>
  </r>
  <r>
    <x v="56"/>
    <n v="657"/>
    <n v="1288"/>
    <n v="0.49"/>
    <m/>
    <x v="10"/>
  </r>
  <r>
    <x v="85"/>
    <n v="1468"/>
    <n v="1699"/>
    <n v="0.14000000000000001"/>
    <m/>
    <x v="10"/>
  </r>
  <r>
    <x v="86"/>
    <n v="630"/>
    <n v="1100"/>
    <n v="0.43"/>
    <m/>
    <x v="10"/>
  </r>
  <r>
    <x v="87"/>
    <n v="850"/>
    <n v="1700"/>
    <n v="0.5"/>
    <m/>
    <x v="10"/>
  </r>
  <r>
    <x v="88"/>
    <n v="1300"/>
    <n v="2500"/>
    <n v="0.48"/>
    <m/>
    <x v="10"/>
  </r>
  <r>
    <x v="89"/>
    <n v="105"/>
    <n v="200"/>
    <n v="0.48"/>
    <m/>
    <x v="10"/>
  </r>
  <r>
    <x v="90"/>
    <n v="899"/>
    <n v="1699"/>
    <n v="0.47"/>
    <m/>
    <x v="10"/>
  </r>
  <r>
    <x v="91"/>
    <n v="1200"/>
    <n v="2400"/>
    <n v="0.5"/>
    <m/>
    <x v="10"/>
  </r>
  <r>
    <x v="92"/>
    <n v="1526"/>
    <n v="1660"/>
    <n v="0.08"/>
    <m/>
    <x v="10"/>
  </r>
  <r>
    <x v="93"/>
    <n v="1462"/>
    <n v="1499"/>
    <n v="0.02"/>
    <m/>
    <x v="10"/>
  </r>
  <r>
    <x v="94"/>
    <n v="248"/>
    <n v="486"/>
    <n v="0.49"/>
    <m/>
    <x v="10"/>
  </r>
  <r>
    <x v="95"/>
    <n v="3546"/>
    <n v="3699"/>
    <n v="0.04"/>
    <m/>
    <x v="10"/>
  </r>
  <r>
    <x v="96"/>
    <n v="525"/>
    <n v="1029"/>
    <n v="0.49"/>
    <m/>
    <x v="10"/>
  </r>
  <r>
    <x v="97"/>
    <n v="1080"/>
    <n v="1874"/>
    <n v="0.42"/>
    <m/>
    <x v="10"/>
  </r>
  <r>
    <x v="98"/>
    <n v="3640"/>
    <n v="4588"/>
    <n v="0.21"/>
    <n v="1"/>
    <x v="8"/>
  </r>
  <r>
    <x v="99"/>
    <n v="1420"/>
    <n v="2420"/>
    <n v="0.41"/>
    <m/>
    <x v="10"/>
  </r>
  <r>
    <x v="100"/>
    <n v="1875"/>
    <n v="1899"/>
    <n v="0.01"/>
    <m/>
    <x v="10"/>
  </r>
  <r>
    <x v="101"/>
    <n v="198"/>
    <n v="260"/>
    <n v="0.24"/>
    <m/>
    <x v="10"/>
  </r>
  <r>
    <x v="102"/>
    <n v="1150"/>
    <n v="1737"/>
    <n v="0.34"/>
    <m/>
    <x v="10"/>
  </r>
  <r>
    <x v="103"/>
    <n v="1190"/>
    <n v="1810"/>
    <n v="0.34"/>
    <m/>
    <x v="10"/>
  </r>
  <r>
    <x v="104"/>
    <n v="1658"/>
    <n v="1699"/>
    <n v="0.02"/>
    <m/>
    <x v="10"/>
  </r>
  <r>
    <x v="105"/>
    <n v="1768"/>
    <n v="1799"/>
    <n v="0.02"/>
    <m/>
    <x v="10"/>
  </r>
  <r>
    <x v="106"/>
    <n v="199"/>
    <n v="553"/>
    <n v="0.64"/>
    <m/>
    <x v="10"/>
  </r>
  <r>
    <x v="107"/>
    <n v="450"/>
    <n v="900"/>
    <n v="0.5"/>
    <n v="1"/>
    <x v="22"/>
  </r>
  <r>
    <x v="108"/>
    <n v="169"/>
    <n v="320"/>
    <n v="0.47"/>
    <m/>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95207-539A-421C-8280-CC1440D5CFD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I116" firstHeaderRow="1" firstDataRow="4" firstDataCol="1"/>
  <pivotFields count="9">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3" showAll="0"/>
    <pivotField numFmtId="9" showAll="0"/>
    <pivotField axis="axisCol" showAll="0">
      <items count="4">
        <item x="1"/>
        <item x="2"/>
        <item x="0"/>
        <item t="default"/>
      </items>
    </pivotField>
    <pivotField axis="axisCol" showAll="0">
      <items count="23">
        <item x="17"/>
        <item x="0"/>
        <item x="11"/>
        <item x="4"/>
        <item x="9"/>
        <item x="3"/>
        <item x="10"/>
        <item x="7"/>
        <item x="13"/>
        <item x="1"/>
        <item x="5"/>
        <item x="20"/>
        <item x="21"/>
        <item x="2"/>
        <item x="16"/>
        <item x="18"/>
        <item x="8"/>
        <item x="12"/>
        <item x="15"/>
        <item x="6"/>
        <item x="19"/>
        <item x="14"/>
        <item t="default"/>
      </items>
    </pivotField>
    <pivotField axis="axisCol"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3">
    <field x="6"/>
    <field x="5"/>
    <field x="7"/>
  </colFields>
  <colItems count="112">
    <i>
      <x/>
      <x/>
      <x/>
    </i>
    <i r="2">
      <x v="9"/>
    </i>
    <i r="2">
      <x v="12"/>
    </i>
    <i r="2">
      <x v="21"/>
    </i>
    <i t="default" r="1">
      <x/>
    </i>
    <i r="1">
      <x v="2"/>
      <x v="21"/>
    </i>
    <i t="default" r="1">
      <x v="2"/>
    </i>
    <i t="default">
      <x/>
    </i>
    <i>
      <x v="1"/>
      <x/>
      <x v="21"/>
    </i>
    <i t="default" r="1">
      <x/>
    </i>
    <i r="1">
      <x v="2"/>
      <x v="12"/>
    </i>
    <i r="2">
      <x v="13"/>
    </i>
    <i r="2">
      <x v="17"/>
    </i>
    <i r="2">
      <x v="19"/>
    </i>
    <i t="default" r="1">
      <x v="2"/>
    </i>
    <i t="default">
      <x v="1"/>
    </i>
    <i>
      <x v="2"/>
      <x/>
      <x v="21"/>
    </i>
    <i t="default" r="1">
      <x/>
    </i>
    <i t="default">
      <x v="2"/>
    </i>
    <i>
      <x v="3"/>
      <x/>
      <x v="9"/>
    </i>
    <i r="2">
      <x v="11"/>
    </i>
    <i r="2">
      <x v="20"/>
    </i>
    <i t="default" r="1">
      <x/>
    </i>
    <i r="1">
      <x v="1"/>
      <x v="18"/>
    </i>
    <i t="default" r="1">
      <x v="1"/>
    </i>
    <i r="1">
      <x v="2"/>
      <x v="9"/>
    </i>
    <i r="2">
      <x v="20"/>
    </i>
    <i t="default" r="1">
      <x v="2"/>
    </i>
    <i t="default">
      <x v="3"/>
    </i>
    <i>
      <x v="4"/>
      <x/>
      <x v="2"/>
    </i>
    <i r="2">
      <x v="3"/>
    </i>
    <i r="2">
      <x v="17"/>
    </i>
    <i t="default" r="1">
      <x/>
    </i>
    <i r="1">
      <x v="1"/>
      <x v="4"/>
    </i>
    <i t="default" r="1">
      <x v="1"/>
    </i>
    <i r="1">
      <x v="2"/>
      <x v="12"/>
    </i>
    <i t="default" r="1">
      <x v="2"/>
    </i>
    <i t="default">
      <x v="4"/>
    </i>
    <i>
      <x v="5"/>
      <x/>
      <x v="1"/>
    </i>
    <i r="2">
      <x v="3"/>
    </i>
    <i r="2">
      <x v="15"/>
    </i>
    <i t="default" r="1">
      <x/>
    </i>
    <i r="1">
      <x v="2"/>
      <x v="19"/>
    </i>
    <i t="default" r="1">
      <x v="2"/>
    </i>
    <i t="default">
      <x v="5"/>
    </i>
    <i>
      <x v="6"/>
      <x/>
      <x v="15"/>
    </i>
    <i t="default" r="1">
      <x/>
    </i>
    <i r="1">
      <x v="2"/>
      <x v="14"/>
    </i>
    <i t="default" r="1">
      <x v="2"/>
    </i>
    <i t="default">
      <x v="6"/>
    </i>
    <i>
      <x v="7"/>
      <x/>
      <x v="20"/>
    </i>
    <i t="default" r="1">
      <x/>
    </i>
    <i r="1">
      <x v="1"/>
      <x v="11"/>
    </i>
    <i t="default" r="1">
      <x v="1"/>
    </i>
    <i r="1">
      <x v="2"/>
      <x v="13"/>
    </i>
    <i r="2">
      <x v="19"/>
    </i>
    <i t="default" r="1">
      <x v="2"/>
    </i>
    <i t="default">
      <x v="7"/>
    </i>
    <i>
      <x v="8"/>
      <x/>
      <x v="1"/>
    </i>
    <i r="2">
      <x v="10"/>
    </i>
    <i t="default" r="1">
      <x/>
    </i>
    <i r="1">
      <x v="2"/>
      <x v="11"/>
    </i>
    <i t="default" r="1">
      <x v="2"/>
    </i>
    <i t="default">
      <x v="8"/>
    </i>
    <i>
      <x v="9"/>
      <x/>
      <x v="13"/>
    </i>
    <i t="default" r="1">
      <x/>
    </i>
    <i r="1">
      <x v="2"/>
      <x v="16"/>
    </i>
    <i t="default" r="1">
      <x v="2"/>
    </i>
    <i t="default">
      <x v="9"/>
    </i>
    <i>
      <x v="10"/>
      <x/>
      <x v="6"/>
    </i>
    <i t="default" r="1">
      <x/>
    </i>
    <i r="1">
      <x v="1"/>
      <x v="12"/>
    </i>
    <i t="default" r="1">
      <x v="1"/>
    </i>
    <i t="default">
      <x v="10"/>
    </i>
    <i>
      <x v="11"/>
      <x v="2"/>
      <x v="8"/>
    </i>
    <i t="default" r="1">
      <x v="2"/>
    </i>
    <i t="default">
      <x v="11"/>
    </i>
    <i>
      <x v="12"/>
      <x/>
      <x v="5"/>
    </i>
    <i t="default" r="1">
      <x/>
    </i>
    <i t="default">
      <x v="12"/>
    </i>
    <i>
      <x v="13"/>
      <x v="2"/>
      <x v="18"/>
    </i>
    <i t="default" r="1">
      <x v="2"/>
    </i>
    <i t="default">
      <x v="13"/>
    </i>
    <i>
      <x v="14"/>
      <x v="2"/>
      <x v="17"/>
    </i>
    <i t="default" r="1">
      <x v="2"/>
    </i>
    <i t="default">
      <x v="14"/>
    </i>
    <i>
      <x v="15"/>
      <x/>
      <x v="15"/>
    </i>
    <i t="default" r="1">
      <x/>
    </i>
    <i t="default">
      <x v="15"/>
    </i>
    <i>
      <x v="16"/>
      <x v="2"/>
      <x v="19"/>
    </i>
    <i t="default" r="1">
      <x v="2"/>
    </i>
    <i t="default">
      <x v="16"/>
    </i>
    <i>
      <x v="17"/>
      <x/>
      <x v="18"/>
    </i>
    <i t="default" r="1">
      <x/>
    </i>
    <i t="default">
      <x v="17"/>
    </i>
    <i>
      <x v="18"/>
      <x v="2"/>
      <x v="18"/>
    </i>
    <i t="default" r="1">
      <x v="2"/>
    </i>
    <i t="default">
      <x v="18"/>
    </i>
    <i>
      <x v="19"/>
      <x v="2"/>
      <x v="18"/>
    </i>
    <i t="default" r="1">
      <x v="2"/>
    </i>
    <i t="default">
      <x v="19"/>
    </i>
    <i>
      <x v="20"/>
      <x/>
      <x v="7"/>
    </i>
    <i t="default" r="1">
      <x/>
    </i>
    <i t="default">
      <x v="20"/>
    </i>
    <i>
      <x v="21"/>
      <x/>
      <x v="22"/>
    </i>
    <i t="default" r="1">
      <x/>
    </i>
    <i r="1">
      <x v="1"/>
      <x v="22"/>
    </i>
    <i t="default" r="1">
      <x v="1"/>
    </i>
    <i r="1">
      <x v="2"/>
      <x v="22"/>
    </i>
    <i t="default" r="1">
      <x v="2"/>
    </i>
    <i t="default">
      <x v="2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60553D-E004-45CB-BCC7-B2AE1BBCCB0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9">
    <pivotField dataField="1" showAll="0"/>
    <pivotField showAll="0"/>
    <pivotField showAll="0"/>
    <pivotField numFmtId="3" showAll="0"/>
    <pivotField numFmtId="9" showAll="0"/>
    <pivotField showAll="0"/>
    <pivotField showAll="0"/>
    <pivotField showAll="0"/>
    <pivotField axis="axisRow" showAll="0">
      <items count="5">
        <item x="2"/>
        <item x="0"/>
        <item x="1"/>
        <item x="3"/>
        <item t="default"/>
      </items>
    </pivotField>
  </pivotFields>
  <rowFields count="1">
    <field x="8"/>
  </rowFields>
  <rowItems count="5">
    <i>
      <x/>
    </i>
    <i>
      <x v="1"/>
    </i>
    <i>
      <x v="2"/>
    </i>
    <i>
      <x v="3"/>
    </i>
    <i t="grand">
      <x/>
    </i>
  </rowItems>
  <colItems count="1">
    <i/>
  </colItems>
  <dataFields count="1">
    <dataField name="Count of Product"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641FA0-D843-4146-A289-D39899A3F2C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50"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3" showAll="0"/>
    <pivotField axis="axisRow"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dataField="1" showAll="0">
      <items count="23">
        <item x="17"/>
        <item x="0"/>
        <item x="11"/>
        <item x="4"/>
        <item x="9"/>
        <item x="3"/>
        <item x="10"/>
        <item x="7"/>
        <item x="13"/>
        <item x="1"/>
        <item x="5"/>
        <item x="20"/>
        <item x="21"/>
        <item x="2"/>
        <item x="16"/>
        <item x="18"/>
        <item x="8"/>
        <item x="12"/>
        <item x="15"/>
        <item x="6"/>
        <item x="19"/>
        <item x="14"/>
        <item t="default"/>
      </items>
    </pivotField>
    <pivotField showAll="0"/>
    <pivotField showAll="0"/>
  </pivotFields>
  <rowFields count="1">
    <field x="4"/>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Review" fld="6" subtotal="count" baseField="4" baseItem="29"/>
  </dataFields>
  <chartFormats count="2">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8F5612-B995-4B7D-B407-64A9E8BEC6F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6" firstHeaderRow="1" firstDataRow="1" firstDataCol="1"/>
  <pivotFields count="9">
    <pivotField showAll="0"/>
    <pivotField showAll="0"/>
    <pivotField showAll="0"/>
    <pivotField numFmtId="3" showAll="0"/>
    <pivotField numFmtId="9" showAll="0"/>
    <pivotField showAll="0"/>
    <pivotField dataField="1" showAll="0"/>
    <pivotField axis="axisRow"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2"/>
        <item x="0"/>
        <item x="1"/>
        <item x="3"/>
        <item t="default"/>
      </items>
    </pivotField>
  </pivotFields>
  <rowFields count="1">
    <field x="7"/>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Review" fld="6" subtotal="count" baseField="7"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0E9F11-7FDE-4EB1-B727-260E1C046AA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14" firstHeaderRow="0"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3"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dataField="1"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s>
  <rowFields count="1">
    <field x="0"/>
  </rowFields>
  <rowItems count="11">
    <i>
      <x v="22"/>
    </i>
    <i>
      <x v="40"/>
    </i>
    <i>
      <x v="44"/>
    </i>
    <i>
      <x v="52"/>
    </i>
    <i>
      <x v="57"/>
    </i>
    <i>
      <x v="65"/>
    </i>
    <i>
      <x v="68"/>
    </i>
    <i>
      <x v="70"/>
    </i>
    <i>
      <x v="87"/>
    </i>
    <i>
      <x v="90"/>
    </i>
    <i t="grand">
      <x/>
    </i>
  </rowItems>
  <colFields count="1">
    <field x="-2"/>
  </colFields>
  <colItems count="3">
    <i>
      <x/>
    </i>
    <i i="1">
      <x v="1"/>
    </i>
    <i i="2">
      <x v="2"/>
    </i>
  </colItems>
  <dataFields count="3">
    <dataField name="Average of Rating" fld="7" subtotal="average" baseField="0" baseItem="0"/>
    <dataField name="Sum of Review" fld="6" baseField="0" baseItem="0"/>
    <dataField name="Average of Discount" fld="4"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B6DF61-AA92-4DD5-AFEB-BF3E3987C4F6}"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6">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9"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s>
  <rowFields count="1">
    <field x="0"/>
  </rowFields>
  <rowItems count="8">
    <i>
      <x v="40"/>
    </i>
    <i>
      <x v="44"/>
    </i>
    <i>
      <x v="52"/>
    </i>
    <i>
      <x v="57"/>
    </i>
    <i>
      <x v="65"/>
    </i>
    <i>
      <x v="68"/>
    </i>
    <i>
      <x v="87"/>
    </i>
    <i t="grand">
      <x/>
    </i>
  </rowItems>
  <colItems count="1">
    <i/>
  </colItems>
  <dataFields count="1">
    <dataField name="Average of Rating" fld="5" subtotal="average" baseField="0" baseItem="0"/>
  </dataField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EBA42D-2AE9-4DB4-A81A-B1367BDE7C1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78" firstHeaderRow="1" firstDataRow="1" firstDataCol="1"/>
  <pivotFields count="9">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3" showAll="0"/>
    <pivotField numFmtId="9" showAll="0"/>
    <pivotField showAll="0"/>
    <pivotField showAll="0"/>
    <pivotField axis="axisRow"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2"/>
        <item h="1" x="0"/>
        <item h="1" x="1"/>
        <item x="3"/>
        <item t="default"/>
      </items>
    </pivotField>
  </pivotFields>
  <rowFields count="2">
    <field x="7"/>
    <field x="0"/>
  </rowFields>
  <rowItems count="75">
    <i>
      <x/>
    </i>
    <i r="1">
      <x v="104"/>
    </i>
    <i>
      <x v="1"/>
    </i>
    <i r="1">
      <x v="30"/>
    </i>
    <i r="1">
      <x v="58"/>
    </i>
    <i>
      <x v="2"/>
    </i>
    <i r="1">
      <x v="35"/>
    </i>
    <i r="1">
      <x v="41"/>
    </i>
    <i>
      <x v="3"/>
    </i>
    <i r="1">
      <x v="17"/>
    </i>
    <i r="1">
      <x v="106"/>
    </i>
    <i>
      <x v="4"/>
    </i>
    <i r="1">
      <x v="25"/>
    </i>
    <i>
      <x v="5"/>
    </i>
    <i r="1">
      <x v="38"/>
    </i>
    <i>
      <x v="6"/>
    </i>
    <i r="1">
      <x v="64"/>
    </i>
    <i>
      <x v="7"/>
    </i>
    <i r="1">
      <x v="5"/>
    </i>
    <i>
      <x v="8"/>
    </i>
    <i r="1">
      <x v="101"/>
    </i>
    <i>
      <x v="22"/>
    </i>
    <i r="1">
      <x v="6"/>
    </i>
    <i r="1">
      <x v="9"/>
    </i>
    <i r="1">
      <x v="10"/>
    </i>
    <i r="1">
      <x v="12"/>
    </i>
    <i r="1">
      <x v="13"/>
    </i>
    <i r="1">
      <x v="14"/>
    </i>
    <i r="1">
      <x v="15"/>
    </i>
    <i r="1">
      <x v="19"/>
    </i>
    <i r="1">
      <x v="21"/>
    </i>
    <i r="1">
      <x v="23"/>
    </i>
    <i r="1">
      <x v="24"/>
    </i>
    <i r="1">
      <x v="29"/>
    </i>
    <i r="1">
      <x v="31"/>
    </i>
    <i r="1">
      <x v="32"/>
    </i>
    <i r="1">
      <x v="33"/>
    </i>
    <i r="1">
      <x v="34"/>
    </i>
    <i r="1">
      <x v="36"/>
    </i>
    <i r="1">
      <x v="37"/>
    </i>
    <i r="1">
      <x v="39"/>
    </i>
    <i r="1">
      <x v="42"/>
    </i>
    <i r="1">
      <x v="43"/>
    </i>
    <i r="1">
      <x v="45"/>
    </i>
    <i r="1">
      <x v="46"/>
    </i>
    <i r="1">
      <x v="47"/>
    </i>
    <i r="1">
      <x v="48"/>
    </i>
    <i r="1">
      <x v="49"/>
    </i>
    <i r="1">
      <x v="50"/>
    </i>
    <i r="1">
      <x v="51"/>
    </i>
    <i r="1">
      <x v="53"/>
    </i>
    <i r="1">
      <x v="54"/>
    </i>
    <i r="1">
      <x v="55"/>
    </i>
    <i r="1">
      <x v="71"/>
    </i>
    <i r="1">
      <x v="74"/>
    </i>
    <i r="1">
      <x v="78"/>
    </i>
    <i r="1">
      <x v="79"/>
    </i>
    <i r="1">
      <x v="81"/>
    </i>
    <i r="1">
      <x v="82"/>
    </i>
    <i r="1">
      <x v="83"/>
    </i>
    <i r="1">
      <x v="85"/>
    </i>
    <i r="1">
      <x v="86"/>
    </i>
    <i r="1">
      <x v="88"/>
    </i>
    <i r="1">
      <x v="89"/>
    </i>
    <i r="1">
      <x v="92"/>
    </i>
    <i r="1">
      <x v="94"/>
    </i>
    <i r="1">
      <x v="96"/>
    </i>
    <i r="1">
      <x v="97"/>
    </i>
    <i r="1">
      <x v="98"/>
    </i>
    <i r="1">
      <x v="99"/>
    </i>
    <i r="1">
      <x v="100"/>
    </i>
    <i r="1">
      <x v="102"/>
    </i>
    <i r="1">
      <x v="103"/>
    </i>
    <i r="1">
      <x v="105"/>
    </i>
    <i t="grand">
      <x/>
    </i>
  </rowItems>
  <colItems count="1">
    <i/>
  </colItems>
  <dataFields count="1">
    <dataField name="Average of Rating" fld="7"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C71EF6-3793-4D82-ABF1-22F6CCBDF74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09" firstHeaderRow="1" firstDataRow="1" firstDataCol="1"/>
  <pivotFields count="9">
    <pivotField axis="axisRow" showAll="0">
      <items count="110">
        <item x="38"/>
        <item h="1" x="11"/>
        <item h="1" x="0"/>
        <item x="27"/>
        <item x="31"/>
        <item h="1" x="61"/>
        <item h="1"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dataField="1" numFmtId="3"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showAll="0"/>
    <pivotField showAll="0"/>
    <pivotField showAll="0"/>
  </pivotFields>
  <rowFields count="1">
    <field x="0"/>
  </rowFields>
  <rowItems count="106">
    <i>
      <x/>
    </i>
    <i>
      <x v="3"/>
    </i>
    <i>
      <x v="4"/>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Average of Absolute Discount"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D3AE88-4AB4-4F85-8C19-487E990AEC3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showAll="0"/>
    <pivotField showAll="0"/>
    <pivotField numFmtId="3" showAll="0"/>
    <pivotField numFmtId="9" showAll="0"/>
    <pivotField showAll="0"/>
    <pivotField dataField="1" showAll="0"/>
    <pivotField showAll="0"/>
    <pivotField showAll="0"/>
  </pivotFields>
  <rowFields count="1">
    <field x="0"/>
  </rowFields>
  <rowItems count="11">
    <i>
      <x v="1"/>
    </i>
    <i>
      <x v="5"/>
    </i>
    <i>
      <x v="8"/>
    </i>
    <i>
      <x v="18"/>
    </i>
    <i>
      <x v="27"/>
    </i>
    <i>
      <x v="38"/>
    </i>
    <i>
      <x v="59"/>
    </i>
    <i>
      <x v="91"/>
    </i>
    <i>
      <x v="95"/>
    </i>
    <i>
      <x v="101"/>
    </i>
    <i t="grand">
      <x/>
    </i>
  </rowItems>
  <colItems count="1">
    <i/>
  </colItems>
  <dataFields count="1">
    <dataField name="Sum of Review" fld="6" baseField="0" baseItem="0"/>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CA0BB1A-D000-45FF-A737-6B28D0D87802}" sourceName="Product">
  <pivotTables>
    <pivotTable tabId="11" name="PivotTable2"/>
  </pivotTables>
  <data>
    <tabular pivotCacheId="1763186865">
      <items count="109">
        <i x="38" s="1"/>
        <i x="11"/>
        <i x="0"/>
        <i x="27" s="1"/>
        <i x="31" s="1"/>
        <i x="61"/>
        <i x="57"/>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F94ABFE2-F790-4192-A075-8CC5E7CEEC5D}" sourceName="Discount">
  <pivotTables>
    <pivotTable tabId="11" name="PivotTable2"/>
  </pivotTables>
  <data>
    <tabular pivotCacheId="1763186865">
      <items count="46">
        <i x="44" s="1"/>
        <i x="30" s="1"/>
        <i x="33" s="1"/>
        <i x="38" s="1"/>
        <i x="42" s="1"/>
        <i x="5" s="1"/>
        <i x="41" s="1"/>
        <i x="34" s="1"/>
        <i x="40" s="1"/>
        <i x="21" s="1"/>
        <i x="16" s="1"/>
        <i x="9" s="1"/>
        <i x="43" s="1"/>
        <i x="32" s="1"/>
        <i x="19" s="1"/>
        <i x="6" s="1"/>
        <i x="2" s="1"/>
        <i x="4" s="1"/>
        <i x="26" s="1"/>
        <i x="36" s="1"/>
        <i x="23" s="1"/>
        <i x="22" s="1"/>
        <i x="12" s="1"/>
        <i x="10" s="1"/>
        <i x="18" s="1"/>
        <i x="39" s="1"/>
        <i x="3" s="1"/>
        <i x="0" s="1"/>
        <i x="35" s="1"/>
        <i x="27" s="1"/>
        <i x="28" s="1"/>
        <i x="11" s="1"/>
        <i x="37" s="1"/>
        <i x="8" s="1"/>
        <i x="14" s="1"/>
        <i x="1" s="1"/>
        <i x="25" s="1"/>
        <i x="15" s="1"/>
        <i x="29" s="1"/>
        <i x="13" s="1"/>
        <i x="24" s="1"/>
        <i x="17" s="1"/>
        <i x="20" s="1"/>
        <i x="7" s="1"/>
        <i x="31" s="1"/>
        <i x="4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40258BCD-B6FB-49D3-A487-61DD3B3D8360}" sourceName="Rating Category">
  <pivotTables>
    <pivotTable tabId="10" name="PivotTable1"/>
  </pivotTables>
  <data>
    <tabular pivotCacheId="1763186865">
      <items count="4">
        <i x="0"/>
        <i x="1"/>
        <i x="3"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E62BD84-D940-4B7D-9BB9-BD2A36F66F1C}" sourceName="Product">
  <pivotTables>
    <pivotTable tabId="10" name="PivotTable1"/>
  </pivotTables>
  <data>
    <tabular pivotCacheId="1763186865">
      <items count="109">
        <i x="61" s="1"/>
        <i x="65" s="1"/>
        <i x="58" s="1"/>
        <i x="60" s="1"/>
        <i x="71" s="1"/>
        <i x="67" s="1"/>
        <i x="64" s="1"/>
        <i x="72" s="1"/>
        <i x="62" s="1"/>
        <i x="63" s="1"/>
        <i x="107" s="1"/>
        <i x="69" s="1"/>
        <i x="38" s="1" nd="1"/>
        <i x="11" s="1" nd="1"/>
        <i x="0" s="1" nd="1"/>
        <i x="27" s="1" nd="1"/>
        <i x="31" s="1" nd="1"/>
        <i x="57" s="1" nd="1"/>
        <i x="9" s="1" nd="1"/>
        <i x="6" s="1" nd="1"/>
        <i x="101" s="1" nd="1"/>
        <i x="80" s="1" nd="1"/>
        <i x="5" s="1" nd="1"/>
        <i x="100" s="1" nd="1"/>
        <i x="91" s="1" nd="1"/>
        <i x="47" s="1" nd="1"/>
        <i x="73" s="1" nd="1"/>
        <i x="66" s="1" nd="1"/>
        <i x="19" s="1" nd="1"/>
        <i x="74" s="1" nd="1"/>
        <i x="20" s="1" nd="1"/>
        <i x="94" s="1" nd="1"/>
        <i x="12" s="1" nd="1"/>
        <i x="40" s="1" nd="1"/>
        <i x="21" s="1" nd="1"/>
        <i x="28" s="1" nd="1"/>
        <i x="34" s="1" nd="1"/>
        <i x="33" s="1" nd="1"/>
        <i x="79" s="1" nd="1"/>
        <i x="106" s="1" nd="1"/>
        <i x="90" s="1" nd="1"/>
        <i x="45" s="1" nd="1"/>
        <i x="76" s="1" nd="1"/>
        <i x="97" s="1" nd="1"/>
        <i x="99" s="1" nd="1"/>
        <i x="56" s="1" nd="1"/>
        <i x="15" s="1" nd="1"/>
        <i x="96" s="1" nd="1"/>
        <i x="42" s="1" nd="1"/>
        <i x="78" s="1" nd="1"/>
        <i x="108" s="1" nd="1"/>
        <i x="49" s="1" nd="1"/>
        <i x="46" s="1" nd="1"/>
        <i x="83" s="1" nd="1"/>
        <i x="103" s="1" nd="1"/>
        <i x="44" s="1" nd="1"/>
        <i x="55" s="1" nd="1"/>
        <i x="36" s="1" nd="1"/>
        <i x="48" s="1" nd="1"/>
        <i x="75" s="1" nd="1"/>
        <i x="53" s="1" nd="1"/>
        <i x="7" s="1" nd="1"/>
        <i x="35" s="1" nd="1"/>
        <i x="25" s="1" nd="1"/>
        <i x="30" s="1" nd="1"/>
        <i x="23" s="1" nd="1"/>
        <i x="10" s="1" nd="1"/>
        <i x="81" s="1" nd="1"/>
        <i x="98" s="1" nd="1"/>
        <i x="68" s="1" nd="1"/>
        <i x="24" s="1" nd="1"/>
        <i x="17" s="1" nd="1"/>
        <i x="13" s="1" nd="1"/>
        <i x="8" s="1" nd="1"/>
        <i x="39" s="1" nd="1"/>
        <i x="32" s="1" nd="1"/>
        <i x="22" s="1" nd="1"/>
        <i x="102" s="1" nd="1"/>
        <i x="18" s="1" nd="1"/>
        <i x="77" s="1" nd="1"/>
        <i x="1" s="1" nd="1"/>
        <i x="95" s="1" nd="1"/>
        <i x="41" s="1" nd="1"/>
        <i x="14" s="1" nd="1"/>
        <i x="86" s="1" nd="1"/>
        <i x="29" s="1" nd="1"/>
        <i x="52" s="1" nd="1"/>
        <i x="59" s="1" nd="1"/>
        <i x="82" s="1" nd="1"/>
        <i x="84" s="1" nd="1"/>
        <i x="16" s="1" nd="1"/>
        <i x="50" s="1" nd="1"/>
        <i x="51" s="1" nd="1"/>
        <i x="4" s="1" nd="1"/>
        <i x="2" s="1" nd="1"/>
        <i x="93" s="1" nd="1"/>
        <i x="26" s="1" nd="1"/>
        <i x="88" s="1" nd="1"/>
        <i x="37" s="1" nd="1"/>
        <i x="89" s="1" nd="1"/>
        <i x="43" s="1" nd="1"/>
        <i x="104" s="1" nd="1"/>
        <i x="54" s="1" nd="1"/>
        <i x="105" s="1" nd="1"/>
        <i x="87" s="1" nd="1"/>
        <i x="92" s="1" nd="1"/>
        <i x="85" s="1" nd="1"/>
        <i x="3" s="1" nd="1"/>
        <i x="7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D3F5D584-ABF8-40A8-A4AE-714DB10EAEC8}" sourceName="Rating">
  <pivotTables>
    <pivotTable tabId="10" name="PivotTable1"/>
  </pivotTables>
  <data>
    <tabular pivotCacheId="1763186865">
      <items count="23">
        <i x="22" s="1"/>
        <i x="15" s="1"/>
        <i x="19" s="1"/>
        <i x="20" s="1"/>
        <i x="13" s="1"/>
        <i x="21" s="1"/>
        <i x="17" s="1"/>
        <i x="16" s="1"/>
        <i x="18" s="1"/>
        <i x="14" s="1" nd="1"/>
        <i x="9" s="1" nd="1"/>
        <i x="6" s="1" nd="1"/>
        <i x="5" s="1" nd="1"/>
        <i x="1" s="1" nd="1"/>
        <i x="7" s="1" nd="1"/>
        <i x="12" s="1" nd="1"/>
        <i x="11" s="1" nd="1"/>
        <i x="0" s="1" nd="1"/>
        <i x="2" s="1" nd="1"/>
        <i x="3" s="1" nd="1"/>
        <i x="4" s="1" nd="1"/>
        <i x="8" s="1" nd="1"/>
        <i x="1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42E72BAE-326C-49FF-B3B0-8DB27C902E42}" sourceName="Rating">
  <pivotTables>
    <pivotTable tabId="15" name="PivotTable2"/>
  </pivotTables>
  <data>
    <tabular pivotCacheId="1763186865">
      <items count="23">
        <i x="22" s="1"/>
        <i x="15" s="1"/>
        <i x="19" s="1"/>
        <i x="20" s="1"/>
        <i x="13" s="1"/>
        <i x="21" s="1"/>
        <i x="17" s="1"/>
        <i x="16" s="1"/>
        <i x="18" s="1"/>
        <i x="14" s="1"/>
        <i x="9" s="1"/>
        <i x="6" s="1"/>
        <i x="5" s="1"/>
        <i x="1" s="1"/>
        <i x="7" s="1"/>
        <i x="12" s="1"/>
        <i x="11" s="1"/>
        <i x="0" s="1"/>
        <i x="2" s="1"/>
        <i x="3" s="1"/>
        <i x="4" s="1"/>
        <i x="8" s="1"/>
        <i x="1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E68D0882-1174-45CD-AF1A-ED8B06E771AD}" sourceName="Discount Category">
  <pivotTables>
    <pivotTable tabId="15" name="PivotTable2"/>
  </pivotTables>
  <data>
    <tabular pivotCacheId="1763186865">
      <items count="3">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6B24B396-9E8A-4F7B-A6DB-10D308C1F72A}" sourceName="Product">
  <pivotTables>
    <pivotTable tabId="15" name="PivotTable2"/>
  </pivotTables>
  <data>
    <tabular pivotCacheId="1763186865">
      <items count="109">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3" xr10:uid="{25B8C861-167B-4B53-8F6B-287E3DA55E7A}" cache="Slicer_Rating1" caption="Rating" startItem="4" rowHeight="241300"/>
  <slicer name="Discount Category 1" xr10:uid="{E27EB45A-7A97-4E21-AB69-51D314EB09BF}" cache="Slicer_Discount_Category" caption="Discount Category" rowHeight="241300"/>
  <slicer name="Product 3" xr10:uid="{10470C0B-2671-481E-AD9C-22B8ABFD4DA9}" cache="Slicer_Product2" caption="Product" startItem="3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2" xr10:uid="{3AA4ACEB-08DD-4C22-A566-540753E56022}" cache="Slicer_Rating1" caption="Rating" rowHeight="241300"/>
  <slicer name="Discount Category" xr10:uid="{CAE58BA5-9374-4CE2-8C35-7CAA0A487642}" cache="Slicer_Discount_Category" caption="Discount Category" rowHeight="241300"/>
  <slicer name="Product 2" xr10:uid="{26F0BA6D-3EDC-4269-9DF5-2B2CBB9F5E43}" cache="Slicer_Product2" caption="Produc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C71F2B59-286E-4939-996B-840941740F70}" cache="Slicer_Rating_Category" caption="Rating Category" rowHeight="241300"/>
  <slicer name="Product" xr10:uid="{78762FEC-0F40-4C78-9D37-5F547364CC5E}" cache="Slicer_Product" caption="Product" rowHeight="241300"/>
  <slicer name="Rating" xr10:uid="{2250B86A-00A1-4173-8FA4-B57E7C3FCAB3}" cache="Slicer_Rating" caption="Rating"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B66007C-9F27-4D9A-AEC3-E8580C45621D}" cache="Slicer_Product1" caption="Product" rowHeight="241300"/>
  <slicer name="Discount" xr10:uid="{75949740-96B7-49DF-867F-A95F19D27B6B}" cache="Slicer_Discount" caption="Discou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C1950F-B8A0-44C9-8035-A286D2BF3E69}" name="Table2" displayName="Table2" ref="A1:F113" totalsRowShown="0" headerRowDxfId="3">
  <tableColumns count="6">
    <tableColumn id="1" xr3:uid="{A4E7F854-9580-4C6D-8434-67159513011F}" name="Product"/>
    <tableColumn id="2" xr3:uid="{178FA646-C9E5-447A-96DD-FCD0500C69DE}" name="Current price"/>
    <tableColumn id="3" xr3:uid="{8D6AFC6B-B9CA-49EA-BA5E-29FB1F1F3622}" name="Old price"/>
    <tableColumn id="4" xr3:uid="{677890DB-4773-473B-8630-7BD42211344D}" name="Discount" dataDxfId="2"/>
    <tableColumn id="5" xr3:uid="{EB68DFD5-6E4B-4645-B9BF-2691D6BFD568}" name="Review" dataDxfId="1"/>
    <tableColumn id="6" xr3:uid="{89646149-E785-4B3E-BA6C-08659F78C01D}" name="Rating"/>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7EC17-75CE-44B5-BD0D-EF2D5B8C0ED7}">
  <dimension ref="A1:F116"/>
  <sheetViews>
    <sheetView workbookViewId="0">
      <selection activeCell="H15" sqref="H15"/>
    </sheetView>
  </sheetViews>
  <sheetFormatPr defaultRowHeight="15" x14ac:dyDescent="0.25"/>
  <cols>
    <col min="1" max="1" width="95.7109375" bestFit="1" customWidth="1"/>
    <col min="2" max="3" width="19.42578125" bestFit="1" customWidth="1"/>
    <col min="4" max="4" width="8.7109375" bestFit="1" customWidth="1"/>
    <col min="5" max="5" width="7.5703125" bestFit="1" customWidth="1"/>
    <col min="6" max="6" width="10.7109375" bestFit="1" customWidth="1"/>
  </cols>
  <sheetData>
    <row r="1" spans="1:6" x14ac:dyDescent="0.25">
      <c r="A1" t="s">
        <v>0</v>
      </c>
      <c r="B1" t="s">
        <v>1</v>
      </c>
      <c r="C1" t="s">
        <v>115</v>
      </c>
      <c r="D1" t="s">
        <v>2</v>
      </c>
      <c r="E1" t="s">
        <v>3</v>
      </c>
      <c r="F1" t="s">
        <v>116</v>
      </c>
    </row>
    <row r="2" spans="1:6" x14ac:dyDescent="0.25">
      <c r="A2" t="s">
        <v>4</v>
      </c>
      <c r="B2" t="s">
        <v>117</v>
      </c>
      <c r="C2" t="s">
        <v>118</v>
      </c>
      <c r="D2" s="1">
        <v>0.38</v>
      </c>
      <c r="E2">
        <v>-2</v>
      </c>
      <c r="F2" t="s">
        <v>119</v>
      </c>
    </row>
    <row r="3" spans="1:6" x14ac:dyDescent="0.25">
      <c r="A3" t="s">
        <v>5</v>
      </c>
      <c r="B3" t="s">
        <v>120</v>
      </c>
      <c r="C3" t="s">
        <v>121</v>
      </c>
      <c r="D3" s="1">
        <v>0.47</v>
      </c>
      <c r="E3">
        <v>-14</v>
      </c>
      <c r="F3" t="s">
        <v>122</v>
      </c>
    </row>
    <row r="4" spans="1:6" x14ac:dyDescent="0.25">
      <c r="A4" t="s">
        <v>6</v>
      </c>
      <c r="B4" t="s">
        <v>123</v>
      </c>
      <c r="C4" t="s">
        <v>124</v>
      </c>
      <c r="D4" s="1">
        <v>0.25</v>
      </c>
      <c r="E4">
        <v>-24</v>
      </c>
      <c r="F4" t="s">
        <v>125</v>
      </c>
    </row>
    <row r="5" spans="1:6" x14ac:dyDescent="0.25">
      <c r="A5" t="s">
        <v>7</v>
      </c>
      <c r="B5" t="s">
        <v>126</v>
      </c>
      <c r="C5" t="s">
        <v>127</v>
      </c>
      <c r="D5" s="1">
        <v>0.37</v>
      </c>
      <c r="E5">
        <v>-7</v>
      </c>
      <c r="F5" t="s">
        <v>128</v>
      </c>
    </row>
    <row r="6" spans="1:6" x14ac:dyDescent="0.25">
      <c r="A6" t="s">
        <v>8</v>
      </c>
      <c r="B6" t="s">
        <v>129</v>
      </c>
      <c r="C6" t="s">
        <v>130</v>
      </c>
      <c r="D6" s="1">
        <v>0.26</v>
      </c>
      <c r="E6">
        <v>-5</v>
      </c>
      <c r="F6" t="s">
        <v>131</v>
      </c>
    </row>
    <row r="7" spans="1:6" x14ac:dyDescent="0.25">
      <c r="A7" t="s">
        <v>9</v>
      </c>
      <c r="B7" t="s">
        <v>132</v>
      </c>
      <c r="C7" t="s">
        <v>133</v>
      </c>
      <c r="D7" s="1">
        <v>0.09</v>
      </c>
      <c r="E7">
        <v>-15</v>
      </c>
      <c r="F7" t="s">
        <v>134</v>
      </c>
    </row>
    <row r="8" spans="1:6" x14ac:dyDescent="0.25">
      <c r="A8" t="s">
        <v>10</v>
      </c>
      <c r="B8" t="s">
        <v>135</v>
      </c>
      <c r="C8" t="s">
        <v>136</v>
      </c>
      <c r="D8" s="1">
        <v>0.24</v>
      </c>
      <c r="E8">
        <v>-55</v>
      </c>
      <c r="F8" t="s">
        <v>125</v>
      </c>
    </row>
    <row r="9" spans="1:6" x14ac:dyDescent="0.25">
      <c r="A9" t="s">
        <v>11</v>
      </c>
      <c r="B9" t="s">
        <v>137</v>
      </c>
      <c r="C9" t="s">
        <v>126</v>
      </c>
      <c r="D9" s="1">
        <v>0.37</v>
      </c>
      <c r="E9">
        <v>-2</v>
      </c>
      <c r="F9" t="s">
        <v>134</v>
      </c>
    </row>
    <row r="10" spans="1:6" x14ac:dyDescent="0.25">
      <c r="A10" t="s">
        <v>12</v>
      </c>
      <c r="B10" t="s">
        <v>138</v>
      </c>
      <c r="C10" t="s">
        <v>139</v>
      </c>
      <c r="D10" s="1">
        <v>0.55000000000000004</v>
      </c>
      <c r="E10">
        <v>-5</v>
      </c>
      <c r="F10" t="s">
        <v>131</v>
      </c>
    </row>
    <row r="11" spans="1:6" x14ac:dyDescent="0.25">
      <c r="A11" t="s">
        <v>13</v>
      </c>
      <c r="B11" t="s">
        <v>140</v>
      </c>
      <c r="C11" t="s">
        <v>141</v>
      </c>
      <c r="D11" s="1">
        <v>0.45</v>
      </c>
      <c r="E11">
        <v>-5</v>
      </c>
      <c r="F11" t="s">
        <v>142</v>
      </c>
    </row>
    <row r="12" spans="1:6" x14ac:dyDescent="0.25">
      <c r="A12" t="s">
        <v>14</v>
      </c>
      <c r="B12" t="s">
        <v>143</v>
      </c>
      <c r="C12" t="s">
        <v>121</v>
      </c>
      <c r="D12" s="1">
        <v>0.2</v>
      </c>
      <c r="E12">
        <v>-12</v>
      </c>
      <c r="F12" t="s">
        <v>122</v>
      </c>
    </row>
    <row r="13" spans="1:6" x14ac:dyDescent="0.25">
      <c r="A13" t="s">
        <v>15</v>
      </c>
      <c r="B13" t="s">
        <v>144</v>
      </c>
      <c r="C13" t="s">
        <v>145</v>
      </c>
      <c r="D13" s="1">
        <v>0.34</v>
      </c>
      <c r="E13">
        <v>-39</v>
      </c>
      <c r="F13" t="s">
        <v>128</v>
      </c>
    </row>
    <row r="14" spans="1:6" x14ac:dyDescent="0.25">
      <c r="A14" t="s">
        <v>16</v>
      </c>
      <c r="B14" t="s">
        <v>146</v>
      </c>
      <c r="C14" t="s">
        <v>147</v>
      </c>
      <c r="D14" s="1">
        <v>0.47</v>
      </c>
      <c r="E14">
        <v>-12</v>
      </c>
      <c r="F14" t="s">
        <v>131</v>
      </c>
    </row>
    <row r="15" spans="1:6" x14ac:dyDescent="0.25">
      <c r="A15" t="s">
        <v>17</v>
      </c>
      <c r="B15" t="s">
        <v>148</v>
      </c>
      <c r="C15" t="s">
        <v>149</v>
      </c>
      <c r="D15" s="1">
        <v>0.42</v>
      </c>
      <c r="E15">
        <v>-6</v>
      </c>
      <c r="F15" t="s">
        <v>119</v>
      </c>
    </row>
    <row r="16" spans="1:6" x14ac:dyDescent="0.25">
      <c r="A16" t="s">
        <v>18</v>
      </c>
      <c r="B16" t="s">
        <v>150</v>
      </c>
      <c r="C16" t="s">
        <v>127</v>
      </c>
      <c r="D16" s="1">
        <v>0.33</v>
      </c>
      <c r="E16">
        <v>-9</v>
      </c>
      <c r="F16" t="s">
        <v>151</v>
      </c>
    </row>
    <row r="17" spans="1:6" x14ac:dyDescent="0.25">
      <c r="A17" t="s">
        <v>19</v>
      </c>
      <c r="B17" t="s">
        <v>152</v>
      </c>
      <c r="C17" t="s">
        <v>153</v>
      </c>
      <c r="D17" s="1">
        <v>0.51</v>
      </c>
      <c r="E17">
        <v>-2</v>
      </c>
      <c r="F17" t="s">
        <v>154</v>
      </c>
    </row>
    <row r="18" spans="1:6" x14ac:dyDescent="0.25">
      <c r="A18" t="s">
        <v>20</v>
      </c>
      <c r="B18" t="s">
        <v>155</v>
      </c>
      <c r="C18" t="s">
        <v>156</v>
      </c>
      <c r="D18" s="1">
        <v>0.46</v>
      </c>
      <c r="E18">
        <v>-2</v>
      </c>
      <c r="F18" t="s">
        <v>154</v>
      </c>
    </row>
    <row r="19" spans="1:6" x14ac:dyDescent="0.25">
      <c r="A19" t="s">
        <v>21</v>
      </c>
      <c r="B19" t="s">
        <v>157</v>
      </c>
      <c r="C19" t="s">
        <v>158</v>
      </c>
      <c r="D19" s="1">
        <v>0.49</v>
      </c>
      <c r="E19">
        <v>-3</v>
      </c>
      <c r="F19" t="s">
        <v>154</v>
      </c>
    </row>
    <row r="20" spans="1:6" x14ac:dyDescent="0.25">
      <c r="A20" t="s">
        <v>22</v>
      </c>
      <c r="B20" t="s">
        <v>132</v>
      </c>
      <c r="C20" t="s">
        <v>159</v>
      </c>
      <c r="D20" s="1">
        <v>0.19</v>
      </c>
      <c r="E20">
        <v>-5</v>
      </c>
      <c r="F20" t="s">
        <v>125</v>
      </c>
    </row>
    <row r="21" spans="1:6" x14ac:dyDescent="0.25">
      <c r="A21" t="s">
        <v>23</v>
      </c>
      <c r="B21" t="s">
        <v>160</v>
      </c>
      <c r="C21" t="s">
        <v>161</v>
      </c>
      <c r="D21" s="1">
        <v>0.49</v>
      </c>
      <c r="E21">
        <v>-44</v>
      </c>
      <c r="F21" t="s">
        <v>125</v>
      </c>
    </row>
    <row r="22" spans="1:6" x14ac:dyDescent="0.25">
      <c r="A22" t="s">
        <v>24</v>
      </c>
      <c r="B22" t="s">
        <v>162</v>
      </c>
      <c r="C22" t="s">
        <v>163</v>
      </c>
      <c r="D22" s="1">
        <v>0.53</v>
      </c>
      <c r="E22">
        <v>-13</v>
      </c>
      <c r="F22" t="s">
        <v>164</v>
      </c>
    </row>
    <row r="23" spans="1:6" x14ac:dyDescent="0.25">
      <c r="A23" t="s">
        <v>25</v>
      </c>
      <c r="B23" t="s">
        <v>165</v>
      </c>
      <c r="C23" t="s">
        <v>166</v>
      </c>
      <c r="D23" s="1">
        <v>0.42</v>
      </c>
    </row>
    <row r="24" spans="1:6" x14ac:dyDescent="0.25">
      <c r="A24" t="s">
        <v>26</v>
      </c>
      <c r="B24" t="s">
        <v>167</v>
      </c>
      <c r="C24" t="s">
        <v>168</v>
      </c>
      <c r="D24" s="1">
        <v>0.35</v>
      </c>
      <c r="E24">
        <v>-6</v>
      </c>
      <c r="F24" t="s">
        <v>134</v>
      </c>
    </row>
    <row r="25" spans="1:6" x14ac:dyDescent="0.25">
      <c r="A25" t="s">
        <v>27</v>
      </c>
      <c r="B25" t="s">
        <v>169</v>
      </c>
      <c r="C25" t="s">
        <v>170</v>
      </c>
      <c r="D25" s="1">
        <v>0.23</v>
      </c>
      <c r="E25">
        <v>-14</v>
      </c>
      <c r="F25" t="s">
        <v>171</v>
      </c>
    </row>
    <row r="26" spans="1:6" x14ac:dyDescent="0.25">
      <c r="A26" t="s">
        <v>28</v>
      </c>
      <c r="B26" t="s">
        <v>172</v>
      </c>
      <c r="C26" t="s">
        <v>173</v>
      </c>
      <c r="D26" s="1">
        <v>0.54</v>
      </c>
      <c r="E26">
        <v>-7</v>
      </c>
      <c r="F26" t="s">
        <v>174</v>
      </c>
    </row>
    <row r="27" spans="1:6" x14ac:dyDescent="0.25">
      <c r="A27" t="s">
        <v>29</v>
      </c>
      <c r="B27" t="s">
        <v>175</v>
      </c>
      <c r="C27" t="s">
        <v>176</v>
      </c>
      <c r="D27" s="1">
        <v>0.35</v>
      </c>
      <c r="E27">
        <v>-49</v>
      </c>
      <c r="F27" t="s">
        <v>125</v>
      </c>
    </row>
    <row r="28" spans="1:6" x14ac:dyDescent="0.25">
      <c r="A28" t="s">
        <v>30</v>
      </c>
      <c r="B28" t="s">
        <v>177</v>
      </c>
      <c r="C28" t="s">
        <v>178</v>
      </c>
      <c r="D28" s="1">
        <v>0.18</v>
      </c>
      <c r="E28">
        <v>-12</v>
      </c>
      <c r="F28" t="s">
        <v>142</v>
      </c>
    </row>
    <row r="29" spans="1:6" x14ac:dyDescent="0.25">
      <c r="A29" t="s">
        <v>31</v>
      </c>
      <c r="B29" t="s">
        <v>168</v>
      </c>
      <c r="C29" t="s">
        <v>179</v>
      </c>
      <c r="D29" s="1">
        <v>0.32</v>
      </c>
      <c r="E29">
        <v>-13</v>
      </c>
      <c r="F29" t="s">
        <v>142</v>
      </c>
    </row>
    <row r="30" spans="1:6" x14ac:dyDescent="0.25">
      <c r="A30" t="s">
        <v>32</v>
      </c>
      <c r="B30" t="s">
        <v>180</v>
      </c>
      <c r="C30" t="s">
        <v>127</v>
      </c>
      <c r="D30" s="1">
        <v>0.3</v>
      </c>
      <c r="E30">
        <v>-20</v>
      </c>
      <c r="F30" t="s">
        <v>122</v>
      </c>
    </row>
    <row r="31" spans="1:6" x14ac:dyDescent="0.25">
      <c r="A31" t="s">
        <v>33</v>
      </c>
      <c r="B31" t="s">
        <v>181</v>
      </c>
      <c r="C31" t="s">
        <v>182</v>
      </c>
      <c r="D31" s="1">
        <v>0.46</v>
      </c>
    </row>
    <row r="32" spans="1:6" x14ac:dyDescent="0.25">
      <c r="A32" t="s">
        <v>34</v>
      </c>
      <c r="B32" t="s">
        <v>183</v>
      </c>
      <c r="C32" t="s">
        <v>184</v>
      </c>
      <c r="D32" s="1">
        <v>0.52</v>
      </c>
      <c r="E32">
        <v>-9</v>
      </c>
      <c r="F32" t="s">
        <v>174</v>
      </c>
    </row>
    <row r="33" spans="1:6" x14ac:dyDescent="0.25">
      <c r="A33" t="s">
        <v>35</v>
      </c>
      <c r="B33" t="s">
        <v>185</v>
      </c>
      <c r="C33" t="s">
        <v>186</v>
      </c>
      <c r="D33" s="1">
        <v>0.34</v>
      </c>
      <c r="E33">
        <v>-12</v>
      </c>
      <c r="F33" t="s">
        <v>128</v>
      </c>
    </row>
    <row r="34" spans="1:6" x14ac:dyDescent="0.25">
      <c r="A34" t="s">
        <v>36</v>
      </c>
      <c r="B34" t="s">
        <v>187</v>
      </c>
      <c r="C34" t="s">
        <v>188</v>
      </c>
      <c r="D34" s="1">
        <v>0.48</v>
      </c>
      <c r="E34">
        <v>-9</v>
      </c>
      <c r="F34" t="s">
        <v>174</v>
      </c>
    </row>
    <row r="35" spans="1:6" x14ac:dyDescent="0.25">
      <c r="A35" t="s">
        <v>37</v>
      </c>
      <c r="B35" t="s">
        <v>189</v>
      </c>
      <c r="C35" t="s">
        <v>190</v>
      </c>
      <c r="D35" s="1">
        <v>0.27</v>
      </c>
      <c r="E35">
        <v>-20</v>
      </c>
      <c r="F35" t="s">
        <v>128</v>
      </c>
    </row>
    <row r="36" spans="1:6" x14ac:dyDescent="0.25">
      <c r="A36" t="s">
        <v>38</v>
      </c>
      <c r="B36" t="s">
        <v>191</v>
      </c>
      <c r="C36" t="s">
        <v>192</v>
      </c>
      <c r="D36" s="1">
        <v>0.27</v>
      </c>
      <c r="E36">
        <v>-32</v>
      </c>
      <c r="F36" t="s">
        <v>119</v>
      </c>
    </row>
    <row r="37" spans="1:6" x14ac:dyDescent="0.25">
      <c r="A37" t="s">
        <v>39</v>
      </c>
      <c r="B37" t="s">
        <v>193</v>
      </c>
      <c r="C37" t="s">
        <v>194</v>
      </c>
      <c r="D37" s="1">
        <v>0.4</v>
      </c>
      <c r="E37">
        <v>-1</v>
      </c>
      <c r="F37" t="s">
        <v>154</v>
      </c>
    </row>
    <row r="38" spans="1:6" x14ac:dyDescent="0.25">
      <c r="A38" t="s">
        <v>40</v>
      </c>
      <c r="B38" t="s">
        <v>195</v>
      </c>
      <c r="C38" t="s">
        <v>156</v>
      </c>
      <c r="D38" s="1">
        <v>0.53</v>
      </c>
      <c r="E38">
        <v>-2</v>
      </c>
      <c r="F38" t="s">
        <v>154</v>
      </c>
    </row>
    <row r="39" spans="1:6" x14ac:dyDescent="0.25">
      <c r="A39" t="s">
        <v>41</v>
      </c>
      <c r="B39" t="s">
        <v>196</v>
      </c>
      <c r="C39" t="s">
        <v>197</v>
      </c>
      <c r="D39" s="1">
        <v>0.41</v>
      </c>
      <c r="E39">
        <v>-36</v>
      </c>
      <c r="F39" t="s">
        <v>174</v>
      </c>
    </row>
    <row r="40" spans="1:6" x14ac:dyDescent="0.25">
      <c r="A40" t="s">
        <v>42</v>
      </c>
      <c r="B40" t="s">
        <v>198</v>
      </c>
      <c r="C40" t="s">
        <v>199</v>
      </c>
      <c r="D40" s="1">
        <v>0.38</v>
      </c>
      <c r="E40">
        <v>-2</v>
      </c>
      <c r="F40" t="s">
        <v>119</v>
      </c>
    </row>
    <row r="41" spans="1:6" x14ac:dyDescent="0.25">
      <c r="A41" t="s">
        <v>43</v>
      </c>
      <c r="B41" t="s">
        <v>200</v>
      </c>
      <c r="C41" t="s">
        <v>201</v>
      </c>
      <c r="D41" s="1">
        <v>0.38</v>
      </c>
    </row>
    <row r="42" spans="1:6" x14ac:dyDescent="0.25">
      <c r="A42" t="s">
        <v>44</v>
      </c>
      <c r="B42" t="s">
        <v>202</v>
      </c>
      <c r="C42" t="s">
        <v>203</v>
      </c>
      <c r="D42" s="1">
        <v>0.49</v>
      </c>
    </row>
    <row r="43" spans="1:6" x14ac:dyDescent="0.25">
      <c r="A43" t="s">
        <v>45</v>
      </c>
      <c r="B43" t="s">
        <v>204</v>
      </c>
      <c r="C43" t="s">
        <v>205</v>
      </c>
      <c r="D43" s="1">
        <v>0.5</v>
      </c>
    </row>
    <row r="44" spans="1:6" x14ac:dyDescent="0.25">
      <c r="A44" t="s">
        <v>46</v>
      </c>
      <c r="B44" t="s">
        <v>206</v>
      </c>
      <c r="C44" t="s">
        <v>207</v>
      </c>
      <c r="D44" s="1">
        <v>0.42</v>
      </c>
    </row>
    <row r="45" spans="1:6" x14ac:dyDescent="0.25">
      <c r="A45" t="s">
        <v>46</v>
      </c>
      <c r="B45" t="s">
        <v>206</v>
      </c>
      <c r="C45" t="s">
        <v>207</v>
      </c>
      <c r="D45" s="1">
        <v>0.42</v>
      </c>
    </row>
    <row r="46" spans="1:6" x14ac:dyDescent="0.25">
      <c r="A46" t="s">
        <v>47</v>
      </c>
      <c r="B46" t="s">
        <v>208</v>
      </c>
      <c r="C46" t="s">
        <v>209</v>
      </c>
      <c r="D46" s="1">
        <v>0.02</v>
      </c>
    </row>
    <row r="47" spans="1:6" x14ac:dyDescent="0.25">
      <c r="A47" t="s">
        <v>48</v>
      </c>
      <c r="B47" t="s">
        <v>121</v>
      </c>
      <c r="C47" t="s">
        <v>210</v>
      </c>
      <c r="D47" s="1">
        <v>0.5</v>
      </c>
    </row>
    <row r="48" spans="1:6" x14ac:dyDescent="0.25">
      <c r="A48" t="s">
        <v>49</v>
      </c>
      <c r="B48" t="s">
        <v>211</v>
      </c>
      <c r="C48" t="s">
        <v>212</v>
      </c>
      <c r="D48" s="1">
        <v>0.33</v>
      </c>
    </row>
    <row r="49" spans="1:6" x14ac:dyDescent="0.25">
      <c r="A49" t="s">
        <v>50</v>
      </c>
      <c r="B49" t="s">
        <v>213</v>
      </c>
      <c r="C49" t="s">
        <v>214</v>
      </c>
      <c r="D49" s="1">
        <v>0.49</v>
      </c>
    </row>
    <row r="50" spans="1:6" x14ac:dyDescent="0.25">
      <c r="A50" t="s">
        <v>51</v>
      </c>
      <c r="B50" t="s">
        <v>215</v>
      </c>
      <c r="C50" t="s">
        <v>216</v>
      </c>
      <c r="D50" s="1">
        <v>0.38</v>
      </c>
    </row>
    <row r="51" spans="1:6" x14ac:dyDescent="0.25">
      <c r="A51" t="s">
        <v>52</v>
      </c>
      <c r="B51" t="s">
        <v>217</v>
      </c>
      <c r="C51" t="s">
        <v>218</v>
      </c>
      <c r="D51" s="1">
        <v>0.61</v>
      </c>
    </row>
    <row r="52" spans="1:6" x14ac:dyDescent="0.25">
      <c r="A52" t="s">
        <v>53</v>
      </c>
      <c r="B52" t="s">
        <v>219</v>
      </c>
      <c r="C52" t="s">
        <v>220</v>
      </c>
      <c r="D52" s="1">
        <v>0.5</v>
      </c>
    </row>
    <row r="53" spans="1:6" x14ac:dyDescent="0.25">
      <c r="A53" t="s">
        <v>54</v>
      </c>
      <c r="B53" t="s">
        <v>221</v>
      </c>
      <c r="C53" t="s">
        <v>222</v>
      </c>
      <c r="D53" s="1">
        <v>0.02</v>
      </c>
    </row>
    <row r="54" spans="1:6" x14ac:dyDescent="0.25">
      <c r="A54" t="s">
        <v>55</v>
      </c>
      <c r="B54" t="s">
        <v>219</v>
      </c>
      <c r="C54" t="s">
        <v>223</v>
      </c>
      <c r="D54" s="1">
        <v>0.22</v>
      </c>
    </row>
    <row r="55" spans="1:6" x14ac:dyDescent="0.25">
      <c r="A55" t="s">
        <v>56</v>
      </c>
      <c r="B55" t="s">
        <v>224</v>
      </c>
      <c r="C55" t="s">
        <v>225</v>
      </c>
      <c r="D55" s="1">
        <v>0.03</v>
      </c>
    </row>
    <row r="56" spans="1:6" x14ac:dyDescent="0.25">
      <c r="A56" t="s">
        <v>57</v>
      </c>
      <c r="B56" t="s">
        <v>143</v>
      </c>
      <c r="C56" t="s">
        <v>226</v>
      </c>
      <c r="D56" s="1">
        <v>0.41</v>
      </c>
    </row>
    <row r="57" spans="1:6" x14ac:dyDescent="0.25">
      <c r="A57" t="s">
        <v>58</v>
      </c>
      <c r="B57" t="s">
        <v>227</v>
      </c>
      <c r="C57" t="s">
        <v>228</v>
      </c>
      <c r="D57" s="1">
        <v>0.45</v>
      </c>
    </row>
    <row r="58" spans="1:6" x14ac:dyDescent="0.25">
      <c r="A58" t="s">
        <v>59</v>
      </c>
      <c r="B58" t="s">
        <v>229</v>
      </c>
      <c r="C58" t="s">
        <v>226</v>
      </c>
      <c r="D58" s="1">
        <v>0.48</v>
      </c>
    </row>
    <row r="59" spans="1:6" x14ac:dyDescent="0.25">
      <c r="A59" t="s">
        <v>60</v>
      </c>
      <c r="B59" t="s">
        <v>143</v>
      </c>
      <c r="C59" t="s">
        <v>230</v>
      </c>
      <c r="D59" s="1">
        <v>0.49</v>
      </c>
    </row>
    <row r="60" spans="1:6" x14ac:dyDescent="0.25">
      <c r="A60" t="s">
        <v>61</v>
      </c>
      <c r="B60" t="s">
        <v>231</v>
      </c>
      <c r="C60" t="s">
        <v>232</v>
      </c>
      <c r="D60" s="1">
        <v>0.27</v>
      </c>
    </row>
    <row r="61" spans="1:6" x14ac:dyDescent="0.25">
      <c r="A61" t="s">
        <v>58</v>
      </c>
      <c r="B61" t="s">
        <v>233</v>
      </c>
      <c r="C61" t="s">
        <v>234</v>
      </c>
      <c r="D61" s="1">
        <v>0.55000000000000004</v>
      </c>
    </row>
    <row r="62" spans="1:6" x14ac:dyDescent="0.25">
      <c r="A62" t="s">
        <v>62</v>
      </c>
      <c r="B62" t="s">
        <v>235</v>
      </c>
      <c r="C62" t="s">
        <v>236</v>
      </c>
      <c r="D62" s="1">
        <v>0.13</v>
      </c>
      <c r="E62">
        <v>-6</v>
      </c>
      <c r="F62" t="s">
        <v>237</v>
      </c>
    </row>
    <row r="63" spans="1:6" x14ac:dyDescent="0.25">
      <c r="A63" t="s">
        <v>63</v>
      </c>
      <c r="B63" t="s">
        <v>238</v>
      </c>
      <c r="C63" t="s">
        <v>239</v>
      </c>
      <c r="D63" s="1">
        <v>0.54</v>
      </c>
      <c r="E63">
        <v>-10</v>
      </c>
      <c r="F63" t="s">
        <v>240</v>
      </c>
    </row>
    <row r="64" spans="1:6" x14ac:dyDescent="0.25">
      <c r="A64" t="s">
        <v>64</v>
      </c>
      <c r="B64" t="s">
        <v>241</v>
      </c>
      <c r="C64" t="s">
        <v>242</v>
      </c>
      <c r="D64" s="1">
        <v>0.55000000000000004</v>
      </c>
      <c r="E64">
        <v>-13</v>
      </c>
      <c r="F64" t="s">
        <v>243</v>
      </c>
    </row>
    <row r="65" spans="1:6" x14ac:dyDescent="0.25">
      <c r="A65" t="s">
        <v>65</v>
      </c>
      <c r="B65" t="s">
        <v>244</v>
      </c>
      <c r="C65" t="s">
        <v>245</v>
      </c>
      <c r="D65" s="1">
        <v>0.49</v>
      </c>
      <c r="E65">
        <v>-69</v>
      </c>
      <c r="F65" t="s">
        <v>246</v>
      </c>
    </row>
    <row r="66" spans="1:6" x14ac:dyDescent="0.25">
      <c r="A66" t="s">
        <v>66</v>
      </c>
      <c r="B66" t="s">
        <v>247</v>
      </c>
      <c r="C66" t="s">
        <v>248</v>
      </c>
      <c r="D66" s="1">
        <v>0.52</v>
      </c>
      <c r="E66">
        <v>-15</v>
      </c>
      <c r="F66" t="s">
        <v>249</v>
      </c>
    </row>
    <row r="67" spans="1:6" x14ac:dyDescent="0.25">
      <c r="A67" t="s">
        <v>67</v>
      </c>
      <c r="B67" t="s">
        <v>250</v>
      </c>
      <c r="C67" t="s">
        <v>251</v>
      </c>
      <c r="D67" s="1">
        <v>0.22</v>
      </c>
      <c r="E67">
        <v>-16</v>
      </c>
      <c r="F67" t="s">
        <v>252</v>
      </c>
    </row>
    <row r="68" spans="1:6" x14ac:dyDescent="0.25">
      <c r="A68" t="s">
        <v>68</v>
      </c>
      <c r="B68" t="s">
        <v>144</v>
      </c>
      <c r="C68" t="s">
        <v>253</v>
      </c>
      <c r="D68" s="1">
        <v>0.45</v>
      </c>
      <c r="E68">
        <v>-6</v>
      </c>
      <c r="F68" t="s">
        <v>254</v>
      </c>
    </row>
    <row r="69" spans="1:6" x14ac:dyDescent="0.25">
      <c r="A69" t="s">
        <v>69</v>
      </c>
      <c r="B69" t="s">
        <v>255</v>
      </c>
      <c r="C69" t="s">
        <v>210</v>
      </c>
      <c r="D69" s="1">
        <v>0.5</v>
      </c>
      <c r="E69">
        <v>-7</v>
      </c>
      <c r="F69" t="s">
        <v>256</v>
      </c>
    </row>
    <row r="70" spans="1:6" x14ac:dyDescent="0.25">
      <c r="A70" t="s">
        <v>70</v>
      </c>
      <c r="B70" t="s">
        <v>257</v>
      </c>
      <c r="C70" t="s">
        <v>258</v>
      </c>
      <c r="D70" s="1">
        <v>0.39</v>
      </c>
      <c r="E70">
        <v>-5</v>
      </c>
      <c r="F70" t="s">
        <v>240</v>
      </c>
    </row>
    <row r="71" spans="1:6" x14ac:dyDescent="0.25">
      <c r="A71" t="s">
        <v>71</v>
      </c>
      <c r="B71" t="s">
        <v>184</v>
      </c>
      <c r="C71" t="s">
        <v>259</v>
      </c>
      <c r="D71" s="1">
        <v>0.45</v>
      </c>
      <c r="E71">
        <v>-17</v>
      </c>
      <c r="F71" t="s">
        <v>260</v>
      </c>
    </row>
    <row r="72" spans="1:6" x14ac:dyDescent="0.25">
      <c r="A72" t="s">
        <v>72</v>
      </c>
      <c r="B72" t="s">
        <v>261</v>
      </c>
      <c r="C72" t="s">
        <v>262</v>
      </c>
      <c r="D72" s="1">
        <v>0.28999999999999998</v>
      </c>
      <c r="E72">
        <v>-5</v>
      </c>
      <c r="F72" t="s">
        <v>240</v>
      </c>
    </row>
    <row r="73" spans="1:6" x14ac:dyDescent="0.25">
      <c r="A73" t="s">
        <v>73</v>
      </c>
      <c r="B73" t="s">
        <v>263</v>
      </c>
      <c r="C73" t="s">
        <v>264</v>
      </c>
      <c r="D73" s="1">
        <v>0.43</v>
      </c>
      <c r="E73">
        <v>-6</v>
      </c>
      <c r="F73" t="s">
        <v>256</v>
      </c>
    </row>
    <row r="74" spans="1:6" x14ac:dyDescent="0.25">
      <c r="A74" t="s">
        <v>74</v>
      </c>
      <c r="B74" t="s">
        <v>265</v>
      </c>
      <c r="C74" t="s">
        <v>266</v>
      </c>
      <c r="D74" s="1">
        <v>0.43</v>
      </c>
      <c r="E74">
        <v>-5</v>
      </c>
      <c r="F74" t="s">
        <v>240</v>
      </c>
    </row>
    <row r="75" spans="1:6" x14ac:dyDescent="0.25">
      <c r="A75" t="s">
        <v>75</v>
      </c>
      <c r="B75" t="s">
        <v>267</v>
      </c>
      <c r="C75" t="s">
        <v>253</v>
      </c>
      <c r="D75" s="1">
        <v>0.47</v>
      </c>
      <c r="E75">
        <v>-6</v>
      </c>
      <c r="F75" t="s">
        <v>254</v>
      </c>
    </row>
    <row r="76" spans="1:6" x14ac:dyDescent="0.25">
      <c r="A76" t="s">
        <v>76</v>
      </c>
      <c r="B76" t="s">
        <v>268</v>
      </c>
      <c r="C76" t="s">
        <v>269</v>
      </c>
      <c r="D76" s="1">
        <v>0.47</v>
      </c>
      <c r="E76">
        <v>-7</v>
      </c>
      <c r="F76" t="s">
        <v>243</v>
      </c>
    </row>
    <row r="77" spans="1:6" x14ac:dyDescent="0.25">
      <c r="A77" t="s">
        <v>77</v>
      </c>
      <c r="B77" t="s">
        <v>270</v>
      </c>
      <c r="C77" t="s">
        <v>271</v>
      </c>
      <c r="D77" s="1">
        <v>0.47</v>
      </c>
    </row>
    <row r="78" spans="1:6" x14ac:dyDescent="0.25">
      <c r="A78" t="s">
        <v>78</v>
      </c>
      <c r="B78" t="s">
        <v>272</v>
      </c>
      <c r="C78" t="s">
        <v>215</v>
      </c>
      <c r="D78" s="1">
        <v>0.43</v>
      </c>
    </row>
    <row r="79" spans="1:6" x14ac:dyDescent="0.25">
      <c r="A79" t="s">
        <v>79</v>
      </c>
      <c r="B79" t="s">
        <v>273</v>
      </c>
      <c r="C79" t="s">
        <v>274</v>
      </c>
      <c r="D79" s="1">
        <v>0.04</v>
      </c>
    </row>
    <row r="80" spans="1:6" x14ac:dyDescent="0.25">
      <c r="A80" t="s">
        <v>80</v>
      </c>
      <c r="B80" t="s">
        <v>275</v>
      </c>
      <c r="C80" t="s">
        <v>276</v>
      </c>
      <c r="D80" s="1">
        <v>0.49</v>
      </c>
    </row>
    <row r="81" spans="1:6" x14ac:dyDescent="0.25">
      <c r="A81" t="s">
        <v>81</v>
      </c>
      <c r="B81" t="s">
        <v>277</v>
      </c>
      <c r="C81" t="s">
        <v>123</v>
      </c>
      <c r="D81" s="1">
        <v>0.46</v>
      </c>
      <c r="E81">
        <v>-1</v>
      </c>
      <c r="F81" t="s">
        <v>240</v>
      </c>
    </row>
    <row r="82" spans="1:6" x14ac:dyDescent="0.25">
      <c r="A82" t="s">
        <v>82</v>
      </c>
      <c r="B82" t="s">
        <v>278</v>
      </c>
      <c r="C82" t="s">
        <v>279</v>
      </c>
      <c r="D82" s="1">
        <v>0.49</v>
      </c>
      <c r="E82">
        <v>-1</v>
      </c>
      <c r="F82" t="s">
        <v>154</v>
      </c>
    </row>
    <row r="83" spans="1:6" x14ac:dyDescent="0.25">
      <c r="A83" t="s">
        <v>83</v>
      </c>
      <c r="B83" t="s">
        <v>280</v>
      </c>
      <c r="C83" t="s">
        <v>281</v>
      </c>
      <c r="D83" s="1">
        <v>0.36</v>
      </c>
    </row>
    <row r="84" spans="1:6" x14ac:dyDescent="0.25">
      <c r="A84" t="s">
        <v>84</v>
      </c>
      <c r="B84" t="s">
        <v>282</v>
      </c>
      <c r="C84" t="s">
        <v>222</v>
      </c>
      <c r="D84" s="1">
        <v>0.02</v>
      </c>
    </row>
    <row r="85" spans="1:6" x14ac:dyDescent="0.25">
      <c r="A85" t="s">
        <v>85</v>
      </c>
      <c r="B85" t="s">
        <v>283</v>
      </c>
      <c r="C85" t="s">
        <v>176</v>
      </c>
      <c r="D85" s="1">
        <v>0.49</v>
      </c>
      <c r="E85">
        <v>-1</v>
      </c>
      <c r="F85" t="s">
        <v>134</v>
      </c>
    </row>
    <row r="86" spans="1:6" x14ac:dyDescent="0.25">
      <c r="A86" t="s">
        <v>46</v>
      </c>
      <c r="B86" t="s">
        <v>206</v>
      </c>
      <c r="C86" t="s">
        <v>207</v>
      </c>
      <c r="D86" s="1">
        <v>0.42</v>
      </c>
    </row>
    <row r="87" spans="1:6" x14ac:dyDescent="0.25">
      <c r="A87" t="s">
        <v>52</v>
      </c>
      <c r="B87" t="s">
        <v>284</v>
      </c>
      <c r="C87" t="s">
        <v>263</v>
      </c>
      <c r="D87" s="1">
        <v>0.49</v>
      </c>
    </row>
    <row r="88" spans="1:6" x14ac:dyDescent="0.25">
      <c r="A88" t="s">
        <v>86</v>
      </c>
      <c r="B88" t="s">
        <v>285</v>
      </c>
      <c r="C88" t="s">
        <v>222</v>
      </c>
      <c r="D88" s="1">
        <v>0.14000000000000001</v>
      </c>
    </row>
    <row r="89" spans="1:6" x14ac:dyDescent="0.25">
      <c r="A89" t="s">
        <v>87</v>
      </c>
      <c r="B89" t="s">
        <v>286</v>
      </c>
      <c r="C89" t="s">
        <v>287</v>
      </c>
      <c r="D89" s="1">
        <v>0.49</v>
      </c>
    </row>
    <row r="90" spans="1:6" x14ac:dyDescent="0.25">
      <c r="A90" t="s">
        <v>88</v>
      </c>
      <c r="B90" t="s">
        <v>143</v>
      </c>
      <c r="C90" t="s">
        <v>228</v>
      </c>
      <c r="D90" s="1">
        <v>0.11</v>
      </c>
    </row>
    <row r="91" spans="1:6" x14ac:dyDescent="0.25">
      <c r="A91" t="s">
        <v>60</v>
      </c>
      <c r="B91" t="s">
        <v>288</v>
      </c>
      <c r="C91" t="s">
        <v>289</v>
      </c>
      <c r="D91" s="1">
        <v>0.49</v>
      </c>
    </row>
    <row r="92" spans="1:6" x14ac:dyDescent="0.25">
      <c r="A92" t="s">
        <v>89</v>
      </c>
      <c r="B92" t="s">
        <v>290</v>
      </c>
      <c r="C92" t="s">
        <v>222</v>
      </c>
      <c r="D92" s="1">
        <v>0.14000000000000001</v>
      </c>
    </row>
    <row r="93" spans="1:6" x14ac:dyDescent="0.25">
      <c r="A93" t="s">
        <v>90</v>
      </c>
      <c r="B93" t="s">
        <v>291</v>
      </c>
      <c r="C93" t="s">
        <v>292</v>
      </c>
      <c r="D93" s="1">
        <v>0.43</v>
      </c>
    </row>
    <row r="94" spans="1:6" x14ac:dyDescent="0.25">
      <c r="A94" t="s">
        <v>91</v>
      </c>
      <c r="B94" t="s">
        <v>293</v>
      </c>
      <c r="C94" t="s">
        <v>294</v>
      </c>
      <c r="D94" s="1">
        <v>0.5</v>
      </c>
    </row>
    <row r="95" spans="1:6" x14ac:dyDescent="0.25">
      <c r="A95" t="s">
        <v>92</v>
      </c>
      <c r="B95" t="s">
        <v>295</v>
      </c>
      <c r="C95" t="s">
        <v>236</v>
      </c>
      <c r="D95" s="1">
        <v>0.48</v>
      </c>
    </row>
    <row r="96" spans="1:6" x14ac:dyDescent="0.25">
      <c r="A96" t="s">
        <v>93</v>
      </c>
      <c r="B96" t="s">
        <v>296</v>
      </c>
      <c r="C96" t="s">
        <v>297</v>
      </c>
      <c r="D96" s="1">
        <v>0.48</v>
      </c>
    </row>
    <row r="97" spans="1:6" x14ac:dyDescent="0.25">
      <c r="A97" t="s">
        <v>94</v>
      </c>
      <c r="B97" t="s">
        <v>266</v>
      </c>
      <c r="C97" t="s">
        <v>222</v>
      </c>
      <c r="D97" s="1">
        <v>0.47</v>
      </c>
    </row>
    <row r="98" spans="1:6" x14ac:dyDescent="0.25">
      <c r="A98" t="s">
        <v>94</v>
      </c>
      <c r="B98" t="s">
        <v>266</v>
      </c>
      <c r="C98" t="s">
        <v>222</v>
      </c>
      <c r="D98" s="1">
        <v>0.47</v>
      </c>
    </row>
    <row r="99" spans="1:6" x14ac:dyDescent="0.25">
      <c r="A99" t="s">
        <v>95</v>
      </c>
      <c r="B99" t="s">
        <v>215</v>
      </c>
      <c r="C99" t="s">
        <v>298</v>
      </c>
      <c r="D99" s="1">
        <v>0.5</v>
      </c>
    </row>
    <row r="100" spans="1:6" x14ac:dyDescent="0.25">
      <c r="A100" t="s">
        <v>96</v>
      </c>
      <c r="B100" t="s">
        <v>299</v>
      </c>
      <c r="C100" t="s">
        <v>221</v>
      </c>
      <c r="D100" s="1">
        <v>0.08</v>
      </c>
    </row>
    <row r="101" spans="1:6" x14ac:dyDescent="0.25">
      <c r="A101" t="s">
        <v>97</v>
      </c>
      <c r="B101" t="s">
        <v>300</v>
      </c>
      <c r="C101" t="s">
        <v>225</v>
      </c>
      <c r="D101" s="1">
        <v>0.02</v>
      </c>
    </row>
    <row r="102" spans="1:6" x14ac:dyDescent="0.25">
      <c r="A102" t="s">
        <v>98</v>
      </c>
      <c r="B102" t="s">
        <v>301</v>
      </c>
      <c r="C102" t="s">
        <v>302</v>
      </c>
      <c r="D102" s="1">
        <v>0.49</v>
      </c>
    </row>
    <row r="103" spans="1:6" x14ac:dyDescent="0.25">
      <c r="A103" t="s">
        <v>99</v>
      </c>
      <c r="B103" t="s">
        <v>303</v>
      </c>
      <c r="C103" t="s">
        <v>159</v>
      </c>
      <c r="D103" s="1">
        <v>0.04</v>
      </c>
    </row>
    <row r="104" spans="1:6" x14ac:dyDescent="0.25">
      <c r="A104" t="s">
        <v>100</v>
      </c>
      <c r="B104" t="s">
        <v>304</v>
      </c>
      <c r="C104" t="s">
        <v>305</v>
      </c>
      <c r="D104" s="1">
        <v>0.49</v>
      </c>
    </row>
    <row r="105" spans="1:6" x14ac:dyDescent="0.25">
      <c r="A105" t="s">
        <v>101</v>
      </c>
      <c r="B105" t="s">
        <v>306</v>
      </c>
      <c r="C105" t="s">
        <v>307</v>
      </c>
      <c r="D105" s="1">
        <v>0.42</v>
      </c>
    </row>
    <row r="106" spans="1:6" x14ac:dyDescent="0.25">
      <c r="A106" t="s">
        <v>102</v>
      </c>
      <c r="B106" t="s">
        <v>308</v>
      </c>
      <c r="C106" t="s">
        <v>309</v>
      </c>
      <c r="D106" s="1">
        <v>0.21</v>
      </c>
      <c r="E106">
        <v>-1</v>
      </c>
      <c r="F106" t="s">
        <v>154</v>
      </c>
    </row>
    <row r="107" spans="1:6" x14ac:dyDescent="0.25">
      <c r="A107" t="s">
        <v>103</v>
      </c>
      <c r="B107" t="s">
        <v>310</v>
      </c>
      <c r="C107" t="s">
        <v>311</v>
      </c>
      <c r="D107" s="1">
        <v>0.41</v>
      </c>
    </row>
    <row r="108" spans="1:6" x14ac:dyDescent="0.25">
      <c r="A108" t="s">
        <v>104</v>
      </c>
      <c r="B108" t="s">
        <v>312</v>
      </c>
      <c r="C108" t="s">
        <v>313</v>
      </c>
      <c r="D108" s="1">
        <v>0.01</v>
      </c>
    </row>
    <row r="109" spans="1:6" x14ac:dyDescent="0.25">
      <c r="A109" t="s">
        <v>105</v>
      </c>
      <c r="B109" t="s">
        <v>314</v>
      </c>
      <c r="C109" t="s">
        <v>315</v>
      </c>
      <c r="D109" s="1">
        <v>0.24</v>
      </c>
    </row>
    <row r="110" spans="1:6" x14ac:dyDescent="0.25">
      <c r="A110" t="s">
        <v>106</v>
      </c>
      <c r="B110" t="s">
        <v>316</v>
      </c>
      <c r="C110" t="s">
        <v>317</v>
      </c>
      <c r="D110" s="1">
        <v>0.34</v>
      </c>
    </row>
    <row r="111" spans="1:6" x14ac:dyDescent="0.25">
      <c r="A111" t="s">
        <v>107</v>
      </c>
      <c r="B111" t="s">
        <v>211</v>
      </c>
      <c r="C111" t="s">
        <v>318</v>
      </c>
      <c r="D111" s="1">
        <v>0.34</v>
      </c>
    </row>
    <row r="112" spans="1:6" x14ac:dyDescent="0.25">
      <c r="A112" t="s">
        <v>108</v>
      </c>
      <c r="B112" t="s">
        <v>319</v>
      </c>
      <c r="C112" t="s">
        <v>222</v>
      </c>
      <c r="D112" s="1">
        <v>0.02</v>
      </c>
    </row>
    <row r="113" spans="1:6" x14ac:dyDescent="0.25">
      <c r="A113" t="s">
        <v>109</v>
      </c>
      <c r="B113" t="s">
        <v>320</v>
      </c>
      <c r="C113" t="s">
        <v>274</v>
      </c>
      <c r="D113" s="1">
        <v>0.02</v>
      </c>
    </row>
    <row r="114" spans="1:6" x14ac:dyDescent="0.25">
      <c r="A114" t="s">
        <v>110</v>
      </c>
      <c r="B114" t="s">
        <v>217</v>
      </c>
      <c r="C114" t="s">
        <v>321</v>
      </c>
      <c r="D114" s="1">
        <v>0.64</v>
      </c>
    </row>
    <row r="115" spans="1:6" x14ac:dyDescent="0.25">
      <c r="A115" t="s">
        <v>111</v>
      </c>
      <c r="B115" t="s">
        <v>276</v>
      </c>
      <c r="C115" t="s">
        <v>228</v>
      </c>
      <c r="D115" s="1">
        <v>0.5</v>
      </c>
      <c r="E115">
        <v>-1</v>
      </c>
      <c r="F115" t="s">
        <v>322</v>
      </c>
    </row>
    <row r="116" spans="1:6" x14ac:dyDescent="0.25">
      <c r="A116" t="s">
        <v>112</v>
      </c>
      <c r="B116" t="s">
        <v>323</v>
      </c>
      <c r="C116" t="s">
        <v>324</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
  <sheetViews>
    <sheetView tabSelected="1" zoomScaleNormal="100" workbookViewId="0">
      <selection activeCell="G5" sqref="G5"/>
    </sheetView>
  </sheetViews>
  <sheetFormatPr defaultRowHeight="15" x14ac:dyDescent="0.25"/>
  <cols>
    <col min="1" max="1" width="95.7109375" bestFit="1" customWidth="1"/>
    <col min="2" max="2" width="18.140625" customWidth="1"/>
    <col min="3" max="3" width="13.42578125" customWidth="1"/>
    <col min="4" max="4" width="13.140625" customWidth="1"/>
    <col min="5" max="5" width="11.5703125" customWidth="1"/>
    <col min="6" max="6" width="10.42578125" customWidth="1"/>
  </cols>
  <sheetData>
    <row r="1" spans="1:6" s="3" customFormat="1" ht="18.75" x14ac:dyDescent="0.3">
      <c r="A1" s="3" t="s">
        <v>0</v>
      </c>
      <c r="B1" s="3" t="s">
        <v>1</v>
      </c>
      <c r="C1" s="3" t="s">
        <v>114</v>
      </c>
      <c r="D1" s="3" t="s">
        <v>2</v>
      </c>
      <c r="E1" s="3" t="s">
        <v>3</v>
      </c>
      <c r="F1" s="3" t="s">
        <v>113</v>
      </c>
    </row>
    <row r="2" spans="1:6" x14ac:dyDescent="0.25">
      <c r="A2" t="s">
        <v>4</v>
      </c>
      <c r="B2">
        <v>950</v>
      </c>
      <c r="C2" s="2">
        <v>1525</v>
      </c>
      <c r="D2" s="1">
        <v>0.38</v>
      </c>
      <c r="E2" s="4">
        <v>2</v>
      </c>
      <c r="F2">
        <v>4.5</v>
      </c>
    </row>
    <row r="3" spans="1:6" x14ac:dyDescent="0.25">
      <c r="A3" t="s">
        <v>5</v>
      </c>
      <c r="B3">
        <v>527</v>
      </c>
      <c r="C3">
        <v>999</v>
      </c>
      <c r="D3" s="1">
        <v>0.47</v>
      </c>
      <c r="E3" s="4">
        <v>14</v>
      </c>
      <c r="F3">
        <v>4.0999999999999996</v>
      </c>
    </row>
    <row r="4" spans="1:6" x14ac:dyDescent="0.25">
      <c r="A4" t="s">
        <v>6</v>
      </c>
      <c r="B4" s="2">
        <v>2199</v>
      </c>
      <c r="C4" s="2">
        <v>2923</v>
      </c>
      <c r="D4" s="1">
        <v>0.25</v>
      </c>
      <c r="E4" s="4">
        <v>24</v>
      </c>
      <c r="F4">
        <v>4.5999999999999996</v>
      </c>
    </row>
    <row r="5" spans="1:6" x14ac:dyDescent="0.25">
      <c r="A5" t="s">
        <v>7</v>
      </c>
      <c r="B5" s="2">
        <v>1580</v>
      </c>
      <c r="C5" s="2">
        <v>2499</v>
      </c>
      <c r="D5" s="1">
        <v>0.37</v>
      </c>
      <c r="E5" s="4">
        <v>7</v>
      </c>
      <c r="F5">
        <v>4.7</v>
      </c>
    </row>
    <row r="6" spans="1:6" x14ac:dyDescent="0.25">
      <c r="A6" t="s">
        <v>8</v>
      </c>
      <c r="B6" s="2">
        <v>1740</v>
      </c>
      <c r="C6" s="2">
        <v>2356</v>
      </c>
      <c r="D6" s="1">
        <v>0.26</v>
      </c>
      <c r="E6" s="4">
        <v>5</v>
      </c>
      <c r="F6">
        <v>4.8</v>
      </c>
    </row>
    <row r="7" spans="1:6" x14ac:dyDescent="0.25">
      <c r="A7" t="s">
        <v>9</v>
      </c>
      <c r="B7" s="2">
        <v>2999</v>
      </c>
      <c r="C7" s="2">
        <v>3290</v>
      </c>
      <c r="D7" s="1">
        <v>0.09</v>
      </c>
      <c r="E7" s="4">
        <v>15</v>
      </c>
      <c r="F7">
        <v>4</v>
      </c>
    </row>
    <row r="8" spans="1:6" x14ac:dyDescent="0.25">
      <c r="A8" t="s">
        <v>10</v>
      </c>
      <c r="B8" s="2">
        <v>2319</v>
      </c>
      <c r="C8" s="2">
        <v>3032</v>
      </c>
      <c r="D8" s="1">
        <v>0.24</v>
      </c>
      <c r="E8" s="4">
        <v>55</v>
      </c>
      <c r="F8">
        <v>4.5999999999999996</v>
      </c>
    </row>
    <row r="9" spans="1:6" x14ac:dyDescent="0.25">
      <c r="A9" t="s">
        <v>11</v>
      </c>
      <c r="B9">
        <v>988</v>
      </c>
      <c r="C9" s="2">
        <v>1580</v>
      </c>
      <c r="D9" s="1">
        <v>0.37</v>
      </c>
      <c r="E9" s="4">
        <v>2</v>
      </c>
      <c r="F9">
        <v>4</v>
      </c>
    </row>
    <row r="10" spans="1:6" x14ac:dyDescent="0.25">
      <c r="A10" t="s">
        <v>12</v>
      </c>
      <c r="B10" s="2">
        <v>1274</v>
      </c>
      <c r="C10" s="2">
        <v>2800</v>
      </c>
      <c r="D10" s="1">
        <v>0.55000000000000004</v>
      </c>
      <c r="E10" s="4">
        <v>5</v>
      </c>
      <c r="F10">
        <v>4.8</v>
      </c>
    </row>
    <row r="11" spans="1:6" x14ac:dyDescent="0.25">
      <c r="A11" t="s">
        <v>13</v>
      </c>
      <c r="B11" s="2">
        <v>1600</v>
      </c>
      <c r="C11" s="2">
        <v>2929</v>
      </c>
      <c r="D11" s="1">
        <v>0.45</v>
      </c>
      <c r="E11" s="4">
        <v>5</v>
      </c>
      <c r="F11">
        <v>3.8</v>
      </c>
    </row>
    <row r="12" spans="1:6" x14ac:dyDescent="0.25">
      <c r="A12" t="s">
        <v>14</v>
      </c>
      <c r="B12">
        <v>799</v>
      </c>
      <c r="C12">
        <v>999</v>
      </c>
      <c r="D12" s="1">
        <v>0.2</v>
      </c>
      <c r="E12" s="4">
        <v>12</v>
      </c>
      <c r="F12">
        <v>4.0999999999999996</v>
      </c>
    </row>
    <row r="13" spans="1:6" x14ac:dyDescent="0.25">
      <c r="A13" t="s">
        <v>15</v>
      </c>
      <c r="B13">
        <v>990</v>
      </c>
      <c r="C13" s="2">
        <v>1500</v>
      </c>
      <c r="D13" s="1">
        <v>0.34</v>
      </c>
      <c r="E13" s="4">
        <v>39</v>
      </c>
      <c r="F13">
        <v>4.7</v>
      </c>
    </row>
    <row r="14" spans="1:6" x14ac:dyDescent="0.25">
      <c r="A14" t="s">
        <v>16</v>
      </c>
      <c r="B14">
        <v>552</v>
      </c>
      <c r="C14" s="2">
        <v>1035</v>
      </c>
      <c r="D14" s="1">
        <v>0.47</v>
      </c>
      <c r="E14" s="4">
        <v>12</v>
      </c>
      <c r="F14">
        <v>4.8</v>
      </c>
    </row>
    <row r="15" spans="1:6" x14ac:dyDescent="0.25">
      <c r="A15" t="s">
        <v>17</v>
      </c>
      <c r="B15">
        <v>501</v>
      </c>
      <c r="C15">
        <v>860</v>
      </c>
      <c r="D15" s="1">
        <v>0.42</v>
      </c>
      <c r="E15" s="4">
        <v>6</v>
      </c>
      <c r="F15">
        <v>4.5</v>
      </c>
    </row>
    <row r="16" spans="1:6" x14ac:dyDescent="0.25">
      <c r="A16" t="s">
        <v>18</v>
      </c>
      <c r="B16" s="2">
        <v>1680</v>
      </c>
      <c r="C16" s="2">
        <v>2499</v>
      </c>
      <c r="D16" s="1">
        <v>0.33</v>
      </c>
      <c r="E16" s="4">
        <v>9</v>
      </c>
      <c r="F16">
        <v>4.2</v>
      </c>
    </row>
    <row r="17" spans="1:6" x14ac:dyDescent="0.25">
      <c r="A17" t="s">
        <v>19</v>
      </c>
      <c r="B17">
        <v>332</v>
      </c>
      <c r="C17">
        <v>684</v>
      </c>
      <c r="D17" s="1">
        <v>0.51</v>
      </c>
      <c r="E17" s="4">
        <v>2</v>
      </c>
      <c r="F17">
        <v>5</v>
      </c>
    </row>
    <row r="18" spans="1:6" x14ac:dyDescent="0.25">
      <c r="A18" t="s">
        <v>20</v>
      </c>
      <c r="B18">
        <v>195</v>
      </c>
      <c r="C18">
        <v>360</v>
      </c>
      <c r="D18" s="1">
        <v>0.46</v>
      </c>
      <c r="E18" s="4">
        <v>2</v>
      </c>
      <c r="F18">
        <v>5</v>
      </c>
    </row>
    <row r="19" spans="1:6" x14ac:dyDescent="0.25">
      <c r="A19" t="s">
        <v>21</v>
      </c>
      <c r="B19" s="2">
        <v>2025</v>
      </c>
      <c r="C19" s="2">
        <v>3971</v>
      </c>
      <c r="D19" s="1">
        <v>0.49</v>
      </c>
      <c r="E19" s="4">
        <v>3</v>
      </c>
      <c r="F19">
        <v>5</v>
      </c>
    </row>
    <row r="20" spans="1:6" x14ac:dyDescent="0.25">
      <c r="A20" t="s">
        <v>22</v>
      </c>
      <c r="B20" s="2">
        <v>2999</v>
      </c>
      <c r="C20" s="2">
        <v>3699</v>
      </c>
      <c r="D20" s="1">
        <v>0.19</v>
      </c>
      <c r="E20" s="4">
        <v>5</v>
      </c>
      <c r="F20">
        <v>4.5999999999999996</v>
      </c>
    </row>
    <row r="21" spans="1:6" x14ac:dyDescent="0.25">
      <c r="A21" t="s">
        <v>23</v>
      </c>
      <c r="B21">
        <v>998</v>
      </c>
      <c r="C21" s="2">
        <v>1966</v>
      </c>
      <c r="D21" s="1">
        <v>0.49</v>
      </c>
      <c r="E21" s="4">
        <v>44</v>
      </c>
      <c r="F21">
        <v>4.5999999999999996</v>
      </c>
    </row>
    <row r="22" spans="1:6" x14ac:dyDescent="0.25">
      <c r="A22" t="s">
        <v>24</v>
      </c>
      <c r="B22">
        <v>38</v>
      </c>
      <c r="C22">
        <v>80</v>
      </c>
      <c r="D22" s="1">
        <v>0.53</v>
      </c>
      <c r="E22" s="4">
        <v>13</v>
      </c>
      <c r="F22">
        <v>3.3</v>
      </c>
    </row>
    <row r="23" spans="1:6" x14ac:dyDescent="0.25">
      <c r="A23" t="s">
        <v>25</v>
      </c>
      <c r="B23" s="2">
        <v>1860</v>
      </c>
      <c r="C23" s="2">
        <v>3220</v>
      </c>
      <c r="D23" s="1">
        <v>0.42</v>
      </c>
      <c r="E23" s="4"/>
    </row>
    <row r="24" spans="1:6" x14ac:dyDescent="0.25">
      <c r="A24" t="s">
        <v>26</v>
      </c>
      <c r="B24">
        <v>880</v>
      </c>
      <c r="C24" s="2">
        <v>1350</v>
      </c>
      <c r="D24" s="1">
        <v>0.35</v>
      </c>
      <c r="E24" s="4">
        <v>6</v>
      </c>
      <c r="F24">
        <v>4</v>
      </c>
    </row>
    <row r="25" spans="1:6" x14ac:dyDescent="0.25">
      <c r="A25" t="s">
        <v>27</v>
      </c>
      <c r="B25" s="2">
        <v>1650</v>
      </c>
      <c r="C25" s="2">
        <v>2150</v>
      </c>
      <c r="D25" s="1">
        <v>0.23</v>
      </c>
      <c r="E25" s="4">
        <v>14</v>
      </c>
      <c r="F25">
        <v>4.4000000000000004</v>
      </c>
    </row>
    <row r="26" spans="1:6" x14ac:dyDescent="0.25">
      <c r="A26" t="s">
        <v>28</v>
      </c>
      <c r="B26" s="2">
        <v>2048</v>
      </c>
      <c r="C26" s="2">
        <v>4500</v>
      </c>
      <c r="D26" s="1">
        <v>0.54</v>
      </c>
      <c r="E26" s="4">
        <v>7</v>
      </c>
      <c r="F26">
        <v>4.3</v>
      </c>
    </row>
    <row r="27" spans="1:6" x14ac:dyDescent="0.25">
      <c r="A27" t="s">
        <v>29</v>
      </c>
      <c r="B27">
        <v>420</v>
      </c>
      <c r="C27">
        <v>647</v>
      </c>
      <c r="D27" s="1">
        <v>0.35</v>
      </c>
      <c r="E27" s="4">
        <v>49</v>
      </c>
      <c r="F27">
        <v>4.5999999999999996</v>
      </c>
    </row>
    <row r="28" spans="1:6" x14ac:dyDescent="0.25">
      <c r="A28" t="s">
        <v>30</v>
      </c>
      <c r="B28" s="2">
        <v>2880</v>
      </c>
      <c r="C28" s="2">
        <v>3520</v>
      </c>
      <c r="D28" s="1">
        <v>0.18</v>
      </c>
      <c r="E28" s="4">
        <v>12</v>
      </c>
      <c r="F28">
        <v>3.8</v>
      </c>
    </row>
    <row r="29" spans="1:6" x14ac:dyDescent="0.25">
      <c r="A29" t="s">
        <v>31</v>
      </c>
      <c r="B29" s="2">
        <v>1350</v>
      </c>
      <c r="C29" s="2">
        <v>1990</v>
      </c>
      <c r="D29" s="1">
        <v>0.32</v>
      </c>
      <c r="E29" s="4">
        <v>13</v>
      </c>
      <c r="F29">
        <v>3.8</v>
      </c>
    </row>
    <row r="30" spans="1:6" x14ac:dyDescent="0.25">
      <c r="A30" t="s">
        <v>32</v>
      </c>
      <c r="B30" s="2">
        <v>1758</v>
      </c>
      <c r="C30" s="2">
        <v>2499</v>
      </c>
      <c r="D30" s="1">
        <v>0.3</v>
      </c>
      <c r="E30" s="4">
        <v>2</v>
      </c>
      <c r="F30">
        <v>4.0999999999999996</v>
      </c>
    </row>
    <row r="31" spans="1:6" x14ac:dyDescent="0.25">
      <c r="A31" t="s">
        <v>33</v>
      </c>
      <c r="B31" s="2">
        <v>2200</v>
      </c>
      <c r="C31" s="2">
        <v>4080</v>
      </c>
      <c r="D31" s="1">
        <v>0.46</v>
      </c>
      <c r="E31" s="4"/>
    </row>
    <row r="32" spans="1:6" x14ac:dyDescent="0.25">
      <c r="A32" t="s">
        <v>34</v>
      </c>
      <c r="B32">
        <v>185</v>
      </c>
      <c r="C32">
        <v>382</v>
      </c>
      <c r="D32" s="1">
        <v>0.52</v>
      </c>
      <c r="E32" s="4">
        <v>9</v>
      </c>
      <c r="F32">
        <v>4.3</v>
      </c>
    </row>
    <row r="33" spans="1:6" x14ac:dyDescent="0.25">
      <c r="A33" t="s">
        <v>35</v>
      </c>
      <c r="B33">
        <v>980</v>
      </c>
      <c r="C33" s="2">
        <v>1490</v>
      </c>
      <c r="D33" s="1">
        <v>0.34</v>
      </c>
      <c r="E33" s="4">
        <v>12</v>
      </c>
      <c r="F33">
        <v>4.7</v>
      </c>
    </row>
    <row r="34" spans="1:6" x14ac:dyDescent="0.25">
      <c r="A34" t="s">
        <v>36</v>
      </c>
      <c r="B34" s="2">
        <v>1820</v>
      </c>
      <c r="C34" s="2">
        <v>3490</v>
      </c>
      <c r="D34" s="1">
        <v>0.48</v>
      </c>
      <c r="E34" s="4">
        <v>9</v>
      </c>
      <c r="F34">
        <v>4.3</v>
      </c>
    </row>
    <row r="35" spans="1:6" x14ac:dyDescent="0.25">
      <c r="A35" t="s">
        <v>37</v>
      </c>
      <c r="B35" s="2">
        <v>1940</v>
      </c>
      <c r="C35" s="2">
        <v>2650</v>
      </c>
      <c r="D35" s="1">
        <v>0.27</v>
      </c>
      <c r="E35" s="4">
        <v>2</v>
      </c>
      <c r="F35">
        <v>4.7</v>
      </c>
    </row>
    <row r="36" spans="1:6" x14ac:dyDescent="0.25">
      <c r="A36" t="s">
        <v>38</v>
      </c>
      <c r="B36" s="2">
        <v>1980</v>
      </c>
      <c r="C36" s="2">
        <v>2699</v>
      </c>
      <c r="D36" s="1">
        <v>0.27</v>
      </c>
      <c r="E36" s="4">
        <v>32</v>
      </c>
      <c r="F36">
        <v>4.5</v>
      </c>
    </row>
    <row r="37" spans="1:6" x14ac:dyDescent="0.25">
      <c r="A37" t="s">
        <v>39</v>
      </c>
      <c r="B37" s="2">
        <v>1620</v>
      </c>
      <c r="C37" s="2">
        <v>2690</v>
      </c>
      <c r="D37" s="1">
        <v>0.4</v>
      </c>
      <c r="E37" s="4">
        <v>1</v>
      </c>
      <c r="F37">
        <v>5</v>
      </c>
    </row>
    <row r="38" spans="1:6" x14ac:dyDescent="0.25">
      <c r="A38" t="s">
        <v>40</v>
      </c>
      <c r="B38">
        <v>171</v>
      </c>
      <c r="C38">
        <v>360</v>
      </c>
      <c r="D38" s="1">
        <v>0.53</v>
      </c>
      <c r="E38" s="4">
        <v>2</v>
      </c>
      <c r="F38">
        <v>5</v>
      </c>
    </row>
    <row r="39" spans="1:6" x14ac:dyDescent="0.25">
      <c r="A39" t="s">
        <v>41</v>
      </c>
      <c r="B39">
        <v>389</v>
      </c>
      <c r="C39">
        <v>656</v>
      </c>
      <c r="D39" s="1">
        <v>0.41</v>
      </c>
      <c r="E39" s="4">
        <v>36</v>
      </c>
      <c r="F39">
        <v>4.3</v>
      </c>
    </row>
    <row r="40" spans="1:6" x14ac:dyDescent="0.25">
      <c r="A40" t="s">
        <v>42</v>
      </c>
      <c r="B40" s="2">
        <v>1980</v>
      </c>
      <c r="C40" s="2">
        <v>3200</v>
      </c>
      <c r="D40" s="1">
        <v>0.38</v>
      </c>
      <c r="E40" s="4">
        <v>2</v>
      </c>
      <c r="F40">
        <v>4.5</v>
      </c>
    </row>
    <row r="41" spans="1:6" x14ac:dyDescent="0.25">
      <c r="A41" t="s">
        <v>43</v>
      </c>
      <c r="B41" s="2">
        <v>2750</v>
      </c>
      <c r="C41" s="2">
        <v>4471</v>
      </c>
      <c r="D41" s="1">
        <v>0.38</v>
      </c>
      <c r="E41" s="4"/>
    </row>
    <row r="42" spans="1:6" x14ac:dyDescent="0.25">
      <c r="A42" t="s">
        <v>44</v>
      </c>
      <c r="B42">
        <v>475</v>
      </c>
      <c r="C42">
        <v>931</v>
      </c>
      <c r="D42" s="1">
        <v>0.49</v>
      </c>
      <c r="E42" s="4"/>
    </row>
    <row r="43" spans="1:6" x14ac:dyDescent="0.25">
      <c r="A43" t="s">
        <v>45</v>
      </c>
      <c r="B43">
        <v>238</v>
      </c>
      <c r="C43">
        <v>476</v>
      </c>
      <c r="D43" s="1">
        <v>0.5</v>
      </c>
      <c r="E43" s="4"/>
    </row>
    <row r="44" spans="1:6" x14ac:dyDescent="0.25">
      <c r="A44" t="s">
        <v>46</v>
      </c>
      <c r="B44">
        <v>610</v>
      </c>
      <c r="C44" s="2">
        <v>1060</v>
      </c>
      <c r="D44" s="1">
        <v>0.42</v>
      </c>
      <c r="E44" s="4"/>
    </row>
    <row r="45" spans="1:6" x14ac:dyDescent="0.25">
      <c r="A45" t="s">
        <v>47</v>
      </c>
      <c r="B45" s="2">
        <v>2132</v>
      </c>
      <c r="C45" s="2">
        <v>2169</v>
      </c>
      <c r="D45" s="1">
        <v>0.02</v>
      </c>
      <c r="E45" s="4"/>
    </row>
    <row r="46" spans="1:6" x14ac:dyDescent="0.25">
      <c r="A46" t="s">
        <v>48</v>
      </c>
      <c r="B46">
        <v>999</v>
      </c>
      <c r="C46" s="2">
        <v>2000</v>
      </c>
      <c r="D46" s="1">
        <v>0.5</v>
      </c>
      <c r="E46" s="4"/>
    </row>
    <row r="47" spans="1:6" x14ac:dyDescent="0.25">
      <c r="A47" t="s">
        <v>49</v>
      </c>
      <c r="B47" s="2">
        <v>1190</v>
      </c>
      <c r="C47" s="2">
        <v>1785</v>
      </c>
      <c r="D47" s="1">
        <v>0.33</v>
      </c>
      <c r="E47" s="4"/>
    </row>
    <row r="48" spans="1:6" x14ac:dyDescent="0.25">
      <c r="A48" t="s">
        <v>50</v>
      </c>
      <c r="B48">
        <v>671</v>
      </c>
      <c r="C48" s="2">
        <v>1316</v>
      </c>
      <c r="D48" s="1">
        <v>0.49</v>
      </c>
      <c r="E48" s="4"/>
    </row>
    <row r="49" spans="1:6" x14ac:dyDescent="0.25">
      <c r="A49" t="s">
        <v>51</v>
      </c>
      <c r="B49" s="2">
        <v>1200</v>
      </c>
      <c r="C49" s="2">
        <v>1950</v>
      </c>
      <c r="D49" s="1">
        <v>0.38</v>
      </c>
      <c r="E49" s="4"/>
    </row>
    <row r="50" spans="1:6" x14ac:dyDescent="0.25">
      <c r="A50" t="s">
        <v>52</v>
      </c>
      <c r="B50">
        <v>199</v>
      </c>
      <c r="C50">
        <v>504</v>
      </c>
      <c r="D50" s="1">
        <v>0.61</v>
      </c>
      <c r="E50" s="4"/>
    </row>
    <row r="51" spans="1:6" x14ac:dyDescent="0.25">
      <c r="A51" t="s">
        <v>53</v>
      </c>
      <c r="B51">
        <v>299</v>
      </c>
      <c r="C51">
        <v>600</v>
      </c>
      <c r="D51" s="1">
        <v>0.5</v>
      </c>
      <c r="E51" s="4"/>
    </row>
    <row r="52" spans="1:6" x14ac:dyDescent="0.25">
      <c r="A52" t="s">
        <v>54</v>
      </c>
      <c r="B52" s="2">
        <v>1660</v>
      </c>
      <c r="C52" s="2">
        <v>1699</v>
      </c>
      <c r="D52" s="1">
        <v>0.02</v>
      </c>
      <c r="E52" s="4"/>
    </row>
    <row r="53" spans="1:6" x14ac:dyDescent="0.25">
      <c r="A53" t="s">
        <v>55</v>
      </c>
      <c r="B53">
        <v>299</v>
      </c>
      <c r="C53">
        <v>384</v>
      </c>
      <c r="D53" s="1">
        <v>0.22</v>
      </c>
      <c r="E53" s="4"/>
    </row>
    <row r="54" spans="1:6" x14ac:dyDescent="0.25">
      <c r="A54" t="s">
        <v>56</v>
      </c>
      <c r="B54" s="2">
        <v>1459</v>
      </c>
      <c r="C54" s="2">
        <v>1499</v>
      </c>
      <c r="D54" s="1">
        <v>0.03</v>
      </c>
      <c r="E54" s="4"/>
    </row>
    <row r="55" spans="1:6" x14ac:dyDescent="0.25">
      <c r="A55" t="s">
        <v>57</v>
      </c>
      <c r="B55">
        <v>799</v>
      </c>
      <c r="C55" s="2">
        <v>1343</v>
      </c>
      <c r="D55" s="1">
        <v>0.41</v>
      </c>
      <c r="E55" s="4"/>
    </row>
    <row r="56" spans="1:6" x14ac:dyDescent="0.25">
      <c r="A56" t="s">
        <v>58</v>
      </c>
      <c r="B56">
        <v>499</v>
      </c>
      <c r="C56">
        <v>900</v>
      </c>
      <c r="D56" s="1">
        <v>0.45</v>
      </c>
      <c r="E56" s="4"/>
    </row>
    <row r="57" spans="1:6" x14ac:dyDescent="0.25">
      <c r="A57" t="s">
        <v>59</v>
      </c>
      <c r="B57">
        <v>699</v>
      </c>
      <c r="C57" s="2">
        <v>1343</v>
      </c>
      <c r="D57" s="1">
        <v>0.48</v>
      </c>
      <c r="E57" s="4"/>
    </row>
    <row r="58" spans="1:6" x14ac:dyDescent="0.25">
      <c r="A58" t="s">
        <v>60</v>
      </c>
      <c r="B58">
        <v>799</v>
      </c>
      <c r="C58" s="2">
        <v>1567</v>
      </c>
      <c r="D58" s="1">
        <v>0.49</v>
      </c>
      <c r="E58" s="4"/>
    </row>
    <row r="59" spans="1:6" x14ac:dyDescent="0.25">
      <c r="A59" t="s">
        <v>61</v>
      </c>
      <c r="B59" s="2">
        <v>2799</v>
      </c>
      <c r="C59" s="2">
        <v>3810</v>
      </c>
      <c r="D59" s="1">
        <v>0.27</v>
      </c>
      <c r="E59" s="4"/>
    </row>
    <row r="60" spans="1:6" x14ac:dyDescent="0.25">
      <c r="A60" t="s">
        <v>58</v>
      </c>
      <c r="B60">
        <v>399</v>
      </c>
      <c r="C60">
        <v>896</v>
      </c>
      <c r="D60" s="1">
        <v>0.55000000000000004</v>
      </c>
      <c r="E60" s="4"/>
    </row>
    <row r="61" spans="1:6" x14ac:dyDescent="0.25">
      <c r="A61" t="s">
        <v>62</v>
      </c>
      <c r="B61" s="2">
        <v>2170</v>
      </c>
      <c r="C61" s="2">
        <v>2500</v>
      </c>
      <c r="D61" s="1">
        <v>0.13</v>
      </c>
      <c r="E61" s="4">
        <v>6</v>
      </c>
      <c r="F61">
        <v>2.5</v>
      </c>
    </row>
    <row r="62" spans="1:6" x14ac:dyDescent="0.25">
      <c r="A62" t="s">
        <v>63</v>
      </c>
      <c r="B62">
        <v>458</v>
      </c>
      <c r="C62">
        <v>986</v>
      </c>
      <c r="D62" s="1">
        <v>0.54</v>
      </c>
      <c r="E62" s="4">
        <v>1</v>
      </c>
      <c r="F62">
        <v>3</v>
      </c>
    </row>
    <row r="63" spans="1:6" x14ac:dyDescent="0.25">
      <c r="A63" t="s">
        <v>64</v>
      </c>
      <c r="B63" s="2">
        <v>2115</v>
      </c>
      <c r="C63" s="2">
        <v>4700</v>
      </c>
      <c r="D63" s="1">
        <v>0.55000000000000004</v>
      </c>
      <c r="E63" s="4">
        <v>13</v>
      </c>
      <c r="F63">
        <v>2.1</v>
      </c>
    </row>
    <row r="64" spans="1:6" x14ac:dyDescent="0.25">
      <c r="A64" t="s">
        <v>65</v>
      </c>
      <c r="B64">
        <v>445</v>
      </c>
      <c r="C64">
        <v>873</v>
      </c>
      <c r="D64" s="1">
        <v>0.49</v>
      </c>
      <c r="E64" s="4">
        <v>69</v>
      </c>
      <c r="F64">
        <v>2.8</v>
      </c>
    </row>
    <row r="65" spans="1:6" x14ac:dyDescent="0.25">
      <c r="A65" t="s">
        <v>66</v>
      </c>
      <c r="B65">
        <v>325</v>
      </c>
      <c r="C65">
        <v>680</v>
      </c>
      <c r="D65" s="1">
        <v>0.52</v>
      </c>
      <c r="E65" s="4">
        <v>15</v>
      </c>
      <c r="F65">
        <v>2.7</v>
      </c>
    </row>
    <row r="66" spans="1:6" x14ac:dyDescent="0.25">
      <c r="A66" t="s">
        <v>67</v>
      </c>
      <c r="B66" s="2">
        <v>1220</v>
      </c>
      <c r="C66" s="2">
        <v>1555</v>
      </c>
      <c r="D66" s="1">
        <v>0.22</v>
      </c>
      <c r="E66" s="4">
        <v>16</v>
      </c>
      <c r="F66">
        <v>2.9</v>
      </c>
    </row>
    <row r="67" spans="1:6" x14ac:dyDescent="0.25">
      <c r="A67" t="s">
        <v>68</v>
      </c>
      <c r="B67">
        <v>990</v>
      </c>
      <c r="C67" s="2">
        <v>1814</v>
      </c>
      <c r="D67" s="1">
        <v>0.45</v>
      </c>
      <c r="E67" s="4">
        <v>6</v>
      </c>
      <c r="F67">
        <v>2.2000000000000002</v>
      </c>
    </row>
    <row r="68" spans="1:6" x14ac:dyDescent="0.25">
      <c r="A68" t="s">
        <v>69</v>
      </c>
      <c r="B68" s="2">
        <v>1000</v>
      </c>
      <c r="C68" s="2">
        <v>2000</v>
      </c>
      <c r="D68" s="1">
        <v>0.5</v>
      </c>
      <c r="E68" s="4">
        <v>7</v>
      </c>
      <c r="F68">
        <v>2.2999999999999998</v>
      </c>
    </row>
    <row r="69" spans="1:6" x14ac:dyDescent="0.25">
      <c r="A69" t="s">
        <v>70</v>
      </c>
      <c r="B69" s="2">
        <v>3750</v>
      </c>
      <c r="C69" s="2">
        <v>6143</v>
      </c>
      <c r="D69" s="1">
        <v>0.39</v>
      </c>
      <c r="E69" s="4">
        <v>5</v>
      </c>
      <c r="F69">
        <v>3</v>
      </c>
    </row>
    <row r="70" spans="1:6" x14ac:dyDescent="0.25">
      <c r="A70" t="s">
        <v>71</v>
      </c>
      <c r="B70">
        <v>382</v>
      </c>
      <c r="C70">
        <v>700</v>
      </c>
      <c r="D70" s="1">
        <v>0.45</v>
      </c>
      <c r="E70" s="4">
        <v>17</v>
      </c>
      <c r="F70">
        <v>2.6</v>
      </c>
    </row>
    <row r="71" spans="1:6" x14ac:dyDescent="0.25">
      <c r="A71" t="s">
        <v>72</v>
      </c>
      <c r="B71" s="2">
        <v>2300</v>
      </c>
      <c r="C71" s="2">
        <v>3240</v>
      </c>
      <c r="D71" s="1">
        <v>0.28999999999999998</v>
      </c>
      <c r="E71" s="4">
        <v>5</v>
      </c>
      <c r="F71">
        <v>3</v>
      </c>
    </row>
    <row r="72" spans="1:6" x14ac:dyDescent="0.25">
      <c r="A72" t="s">
        <v>73</v>
      </c>
      <c r="B72">
        <v>345</v>
      </c>
      <c r="C72">
        <v>602</v>
      </c>
      <c r="D72" s="1">
        <v>0.43</v>
      </c>
      <c r="E72" s="4">
        <v>6</v>
      </c>
      <c r="F72">
        <v>2.2999999999999998</v>
      </c>
    </row>
    <row r="73" spans="1:6" x14ac:dyDescent="0.25">
      <c r="A73" t="s">
        <v>74</v>
      </c>
      <c r="B73">
        <v>509</v>
      </c>
      <c r="C73">
        <v>899</v>
      </c>
      <c r="D73" s="1">
        <v>0.43</v>
      </c>
      <c r="E73" s="4">
        <v>5</v>
      </c>
      <c r="F73">
        <v>3</v>
      </c>
    </row>
    <row r="74" spans="1:6" x14ac:dyDescent="0.25">
      <c r="A74" t="s">
        <v>75</v>
      </c>
      <c r="B74">
        <v>968</v>
      </c>
      <c r="C74" s="2">
        <v>1814</v>
      </c>
      <c r="D74" s="1">
        <v>0.47</v>
      </c>
      <c r="E74" s="4">
        <v>6</v>
      </c>
      <c r="F74">
        <v>2.2000000000000002</v>
      </c>
    </row>
    <row r="75" spans="1:6" x14ac:dyDescent="0.25">
      <c r="A75" t="s">
        <v>76</v>
      </c>
      <c r="B75" s="2">
        <v>1570</v>
      </c>
      <c r="C75" s="2">
        <v>2988</v>
      </c>
      <c r="D75" s="1">
        <v>0.47</v>
      </c>
      <c r="E75" s="4">
        <v>7</v>
      </c>
      <c r="F75">
        <v>2.1</v>
      </c>
    </row>
    <row r="76" spans="1:6" x14ac:dyDescent="0.25">
      <c r="A76" t="s">
        <v>77</v>
      </c>
      <c r="B76">
        <v>790</v>
      </c>
      <c r="C76" s="2">
        <v>1485</v>
      </c>
      <c r="D76" s="1">
        <v>0.47</v>
      </c>
      <c r="E76" s="4"/>
    </row>
    <row r="77" spans="1:6" x14ac:dyDescent="0.25">
      <c r="A77" t="s">
        <v>78</v>
      </c>
      <c r="B77">
        <v>690</v>
      </c>
      <c r="C77" s="2">
        <v>1200</v>
      </c>
      <c r="D77" s="1">
        <v>0.43</v>
      </c>
      <c r="E77" s="4"/>
    </row>
    <row r="78" spans="1:6" x14ac:dyDescent="0.25">
      <c r="A78" t="s">
        <v>79</v>
      </c>
      <c r="B78" s="2">
        <v>1732</v>
      </c>
      <c r="C78" s="2">
        <v>1799</v>
      </c>
      <c r="D78" s="1">
        <v>0.04</v>
      </c>
      <c r="E78" s="4"/>
    </row>
    <row r="79" spans="1:6" x14ac:dyDescent="0.25">
      <c r="A79" t="s">
        <v>80</v>
      </c>
      <c r="B79">
        <v>230</v>
      </c>
      <c r="C79">
        <v>450</v>
      </c>
      <c r="D79" s="1">
        <v>0.49</v>
      </c>
      <c r="E79" s="4"/>
    </row>
    <row r="80" spans="1:6" x14ac:dyDescent="0.25">
      <c r="A80" t="s">
        <v>81</v>
      </c>
      <c r="B80" s="2">
        <v>1189</v>
      </c>
      <c r="C80" s="2">
        <v>2199</v>
      </c>
      <c r="D80" s="1">
        <v>0.46</v>
      </c>
      <c r="E80" s="4">
        <v>1</v>
      </c>
      <c r="F80">
        <v>3</v>
      </c>
    </row>
    <row r="81" spans="1:6" x14ac:dyDescent="0.25">
      <c r="A81" t="s">
        <v>82</v>
      </c>
      <c r="B81">
        <v>979</v>
      </c>
      <c r="C81" s="2">
        <v>1920</v>
      </c>
      <c r="D81" s="1">
        <v>0.49</v>
      </c>
      <c r="E81" s="4">
        <v>1</v>
      </c>
      <c r="F81">
        <v>5</v>
      </c>
    </row>
    <row r="82" spans="1:6" x14ac:dyDescent="0.25">
      <c r="A82" t="s">
        <v>83</v>
      </c>
      <c r="B82" s="2">
        <v>1460</v>
      </c>
      <c r="C82" s="2">
        <v>2290</v>
      </c>
      <c r="D82" s="1">
        <v>0.36</v>
      </c>
      <c r="E82" s="4"/>
    </row>
    <row r="83" spans="1:6" x14ac:dyDescent="0.25">
      <c r="A83" t="s">
        <v>84</v>
      </c>
      <c r="B83" s="2">
        <v>1666</v>
      </c>
      <c r="C83" s="2">
        <v>1699</v>
      </c>
      <c r="D83" s="1">
        <v>0.02</v>
      </c>
      <c r="E83" s="4"/>
    </row>
    <row r="84" spans="1:6" x14ac:dyDescent="0.25">
      <c r="A84" t="s">
        <v>85</v>
      </c>
      <c r="B84">
        <v>330</v>
      </c>
      <c r="C84">
        <v>647</v>
      </c>
      <c r="D84" s="1">
        <v>0.49</v>
      </c>
      <c r="E84" s="4">
        <v>1</v>
      </c>
      <c r="F84">
        <v>4</v>
      </c>
    </row>
    <row r="85" spans="1:6" x14ac:dyDescent="0.25">
      <c r="A85" t="s">
        <v>52</v>
      </c>
      <c r="B85">
        <v>176</v>
      </c>
      <c r="C85">
        <v>345</v>
      </c>
      <c r="D85" s="1">
        <v>0.49</v>
      </c>
      <c r="E85" s="4"/>
    </row>
    <row r="86" spans="1:6" x14ac:dyDescent="0.25">
      <c r="A86" t="s">
        <v>86</v>
      </c>
      <c r="B86" s="2">
        <v>1466</v>
      </c>
      <c r="C86" s="2">
        <v>1699</v>
      </c>
      <c r="D86" s="1">
        <v>0.14000000000000001</v>
      </c>
      <c r="E86" s="4"/>
    </row>
    <row r="87" spans="1:6" x14ac:dyDescent="0.25">
      <c r="A87" t="s">
        <v>87</v>
      </c>
      <c r="B87">
        <v>274</v>
      </c>
      <c r="C87">
        <v>537</v>
      </c>
      <c r="D87" s="1">
        <v>0.49</v>
      </c>
      <c r="E87" s="4"/>
    </row>
    <row r="88" spans="1:6" x14ac:dyDescent="0.25">
      <c r="A88" t="s">
        <v>88</v>
      </c>
      <c r="B88">
        <v>799</v>
      </c>
      <c r="C88">
        <v>900</v>
      </c>
      <c r="D88" s="1">
        <v>0.11</v>
      </c>
      <c r="E88" s="4"/>
    </row>
    <row r="89" spans="1:6" x14ac:dyDescent="0.25">
      <c r="A89" t="s">
        <v>60</v>
      </c>
      <c r="B89">
        <v>657</v>
      </c>
      <c r="C89" s="2">
        <v>1288</v>
      </c>
      <c r="D89" s="1">
        <v>0.49</v>
      </c>
      <c r="E89" s="4"/>
    </row>
    <row r="90" spans="1:6" x14ac:dyDescent="0.25">
      <c r="A90" t="s">
        <v>89</v>
      </c>
      <c r="B90" s="2">
        <v>1468</v>
      </c>
      <c r="C90" s="2">
        <v>1699</v>
      </c>
      <c r="D90" s="1">
        <v>0.14000000000000001</v>
      </c>
      <c r="E90" s="4"/>
    </row>
    <row r="91" spans="1:6" x14ac:dyDescent="0.25">
      <c r="A91" t="s">
        <v>90</v>
      </c>
      <c r="B91">
        <v>630</v>
      </c>
      <c r="C91" s="2">
        <v>1100</v>
      </c>
      <c r="D91" s="1">
        <v>0.43</v>
      </c>
      <c r="E91" s="4"/>
    </row>
    <row r="92" spans="1:6" x14ac:dyDescent="0.25">
      <c r="A92" t="s">
        <v>91</v>
      </c>
      <c r="B92">
        <v>850</v>
      </c>
      <c r="C92" s="2">
        <v>1700</v>
      </c>
      <c r="D92" s="1">
        <v>0.5</v>
      </c>
      <c r="E92" s="4"/>
    </row>
    <row r="93" spans="1:6" x14ac:dyDescent="0.25">
      <c r="A93" t="s">
        <v>92</v>
      </c>
      <c r="B93" s="2">
        <v>1300</v>
      </c>
      <c r="C93" s="2">
        <v>2500</v>
      </c>
      <c r="D93" s="1">
        <v>0.48</v>
      </c>
      <c r="E93" s="4"/>
    </row>
    <row r="94" spans="1:6" x14ac:dyDescent="0.25">
      <c r="A94" t="s">
        <v>93</v>
      </c>
      <c r="B94">
        <v>105</v>
      </c>
      <c r="C94">
        <v>200</v>
      </c>
      <c r="D94" s="1">
        <v>0.48</v>
      </c>
      <c r="E94" s="4"/>
    </row>
    <row r="95" spans="1:6" x14ac:dyDescent="0.25">
      <c r="A95" t="s">
        <v>94</v>
      </c>
      <c r="B95">
        <v>899</v>
      </c>
      <c r="C95" s="2">
        <v>1699</v>
      </c>
      <c r="D95" s="1">
        <v>0.47</v>
      </c>
      <c r="E95" s="4"/>
    </row>
    <row r="96" spans="1:6" x14ac:dyDescent="0.25">
      <c r="A96" t="s">
        <v>95</v>
      </c>
      <c r="B96" s="2">
        <v>1200</v>
      </c>
      <c r="C96" s="2">
        <v>2400</v>
      </c>
      <c r="D96" s="1">
        <v>0.5</v>
      </c>
      <c r="E96" s="4"/>
    </row>
    <row r="97" spans="1:6" x14ac:dyDescent="0.25">
      <c r="A97" t="s">
        <v>96</v>
      </c>
      <c r="B97" s="2">
        <v>1526</v>
      </c>
      <c r="C97" s="2">
        <v>1660</v>
      </c>
      <c r="D97" s="1">
        <v>0.08</v>
      </c>
      <c r="E97" s="4"/>
    </row>
    <row r="98" spans="1:6" x14ac:dyDescent="0.25">
      <c r="A98" t="s">
        <v>97</v>
      </c>
      <c r="B98" s="2">
        <v>1462</v>
      </c>
      <c r="C98" s="2">
        <v>1499</v>
      </c>
      <c r="D98" s="1">
        <v>0.02</v>
      </c>
      <c r="E98" s="4"/>
    </row>
    <row r="99" spans="1:6" x14ac:dyDescent="0.25">
      <c r="A99" t="s">
        <v>98</v>
      </c>
      <c r="B99">
        <v>248</v>
      </c>
      <c r="C99">
        <v>486</v>
      </c>
      <c r="D99" s="1">
        <v>0.49</v>
      </c>
      <c r="E99" s="4"/>
    </row>
    <row r="100" spans="1:6" x14ac:dyDescent="0.25">
      <c r="A100" t="s">
        <v>99</v>
      </c>
      <c r="B100" s="2">
        <v>3546</v>
      </c>
      <c r="C100" s="2">
        <v>3699</v>
      </c>
      <c r="D100" s="1">
        <v>0.04</v>
      </c>
      <c r="E100" s="4"/>
    </row>
    <row r="101" spans="1:6" x14ac:dyDescent="0.25">
      <c r="A101" t="s">
        <v>100</v>
      </c>
      <c r="B101">
        <v>525</v>
      </c>
      <c r="C101" s="2">
        <v>1029</v>
      </c>
      <c r="D101" s="1">
        <v>0.49</v>
      </c>
      <c r="E101" s="4"/>
    </row>
    <row r="102" spans="1:6" x14ac:dyDescent="0.25">
      <c r="A102" t="s">
        <v>101</v>
      </c>
      <c r="B102" s="2">
        <v>1080</v>
      </c>
      <c r="C102" s="2">
        <v>1874</v>
      </c>
      <c r="D102" s="1">
        <v>0.42</v>
      </c>
      <c r="E102" s="4"/>
    </row>
    <row r="103" spans="1:6" x14ac:dyDescent="0.25">
      <c r="A103" t="s">
        <v>102</v>
      </c>
      <c r="B103" s="2">
        <v>3640</v>
      </c>
      <c r="C103" s="2">
        <v>4588</v>
      </c>
      <c r="D103" s="1">
        <v>0.21</v>
      </c>
      <c r="E103" s="4">
        <v>1</v>
      </c>
      <c r="F103">
        <v>5</v>
      </c>
    </row>
    <row r="104" spans="1:6" x14ac:dyDescent="0.25">
      <c r="A104" t="s">
        <v>103</v>
      </c>
      <c r="B104" s="2">
        <v>1420</v>
      </c>
      <c r="C104" s="2">
        <v>2420</v>
      </c>
      <c r="D104" s="1">
        <v>0.41</v>
      </c>
      <c r="E104" s="4"/>
    </row>
    <row r="105" spans="1:6" x14ac:dyDescent="0.25">
      <c r="A105" t="s">
        <v>104</v>
      </c>
      <c r="B105" s="2">
        <v>1875</v>
      </c>
      <c r="C105" s="2">
        <v>1899</v>
      </c>
      <c r="D105" s="1">
        <v>0.01</v>
      </c>
      <c r="E105" s="4"/>
    </row>
    <row r="106" spans="1:6" x14ac:dyDescent="0.25">
      <c r="A106" t="s">
        <v>105</v>
      </c>
      <c r="B106">
        <v>198</v>
      </c>
      <c r="C106">
        <v>260</v>
      </c>
      <c r="D106" s="1">
        <v>0.24</v>
      </c>
      <c r="E106" s="4"/>
    </row>
    <row r="107" spans="1:6" x14ac:dyDescent="0.25">
      <c r="A107" t="s">
        <v>106</v>
      </c>
      <c r="B107" s="2">
        <v>1150</v>
      </c>
      <c r="C107" s="2">
        <v>1737</v>
      </c>
      <c r="D107" s="1">
        <v>0.34</v>
      </c>
      <c r="E107" s="4"/>
    </row>
    <row r="108" spans="1:6" x14ac:dyDescent="0.25">
      <c r="A108" t="s">
        <v>107</v>
      </c>
      <c r="B108" s="2">
        <v>1190</v>
      </c>
      <c r="C108" s="2">
        <v>1810</v>
      </c>
      <c r="D108" s="1">
        <v>0.34</v>
      </c>
      <c r="E108" s="4"/>
    </row>
    <row r="109" spans="1:6" x14ac:dyDescent="0.25">
      <c r="A109" t="s">
        <v>108</v>
      </c>
      <c r="B109" s="2">
        <v>1658</v>
      </c>
      <c r="C109" s="2">
        <v>1699</v>
      </c>
      <c r="D109" s="1">
        <v>0.02</v>
      </c>
      <c r="E109" s="4"/>
    </row>
    <row r="110" spans="1:6" x14ac:dyDescent="0.25">
      <c r="A110" t="s">
        <v>109</v>
      </c>
      <c r="B110" s="2">
        <v>1768</v>
      </c>
      <c r="C110" s="2">
        <v>1799</v>
      </c>
      <c r="D110" s="1">
        <v>0.02</v>
      </c>
      <c r="E110" s="4"/>
    </row>
    <row r="111" spans="1:6" x14ac:dyDescent="0.25">
      <c r="A111" t="s">
        <v>110</v>
      </c>
      <c r="B111">
        <v>199</v>
      </c>
      <c r="C111">
        <v>553</v>
      </c>
      <c r="D111" s="1">
        <v>0.64</v>
      </c>
      <c r="E111" s="4"/>
    </row>
    <row r="112" spans="1:6" x14ac:dyDescent="0.25">
      <c r="A112" t="s">
        <v>111</v>
      </c>
      <c r="B112">
        <v>450</v>
      </c>
      <c r="C112">
        <v>900</v>
      </c>
      <c r="D112" s="1">
        <v>0.5</v>
      </c>
      <c r="E112" s="4">
        <v>1</v>
      </c>
      <c r="F112">
        <v>2</v>
      </c>
    </row>
    <row r="113" spans="1:5" x14ac:dyDescent="0.25">
      <c r="A113" t="s">
        <v>112</v>
      </c>
      <c r="B113">
        <v>169</v>
      </c>
      <c r="C113">
        <v>320</v>
      </c>
      <c r="D113" s="1">
        <v>0.47</v>
      </c>
      <c r="E113" s="4"/>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59937-C1E6-4120-A592-20BD4CAF1906}">
  <dimension ref="A1:M115"/>
  <sheetViews>
    <sheetView workbookViewId="0">
      <pane ySplit="1" topLeftCell="A2" activePane="bottomLeft" state="frozen"/>
      <selection pane="bottomLeft" activeCell="D16" sqref="D16"/>
    </sheetView>
  </sheetViews>
  <sheetFormatPr defaultRowHeight="15" x14ac:dyDescent="0.25"/>
  <cols>
    <col min="1" max="1" width="95.7109375" bestFit="1" customWidth="1"/>
    <col min="2" max="2" width="18.140625" customWidth="1"/>
    <col min="3" max="3" width="13.42578125" customWidth="1"/>
    <col min="4" max="4" width="24.85546875" bestFit="1" customWidth="1"/>
    <col min="5" max="5" width="13.140625" customWidth="1"/>
    <col min="6" max="6" width="22.42578125" bestFit="1" customWidth="1"/>
    <col min="7" max="7" width="11.5703125" customWidth="1"/>
    <col min="8" max="8" width="10.42578125" customWidth="1"/>
    <col min="9" max="9" width="21" bestFit="1" customWidth="1"/>
    <col min="11" max="11" width="24.85546875" bestFit="1" customWidth="1"/>
    <col min="13" max="13" width="70.85546875" bestFit="1" customWidth="1"/>
  </cols>
  <sheetData>
    <row r="1" spans="1:13" ht="19.5" thickBot="1" x14ac:dyDescent="0.35">
      <c r="A1" s="6" t="s">
        <v>0</v>
      </c>
      <c r="B1" s="6" t="s">
        <v>1</v>
      </c>
      <c r="C1" s="6" t="s">
        <v>114</v>
      </c>
      <c r="D1" s="6" t="s">
        <v>325</v>
      </c>
      <c r="E1" s="6" t="s">
        <v>2</v>
      </c>
      <c r="F1" s="6" t="s">
        <v>326</v>
      </c>
      <c r="G1" s="6" t="s">
        <v>3</v>
      </c>
      <c r="H1" s="6" t="s">
        <v>113</v>
      </c>
      <c r="I1" s="7" t="s">
        <v>327</v>
      </c>
    </row>
    <row r="2" spans="1:13" x14ac:dyDescent="0.25">
      <c r="A2" s="8" t="s">
        <v>4</v>
      </c>
      <c r="B2" s="8">
        <v>950</v>
      </c>
      <c r="C2" s="9">
        <v>1525</v>
      </c>
      <c r="D2" s="9">
        <f>C2-B2</f>
        <v>575</v>
      </c>
      <c r="E2" s="10">
        <v>0.38</v>
      </c>
      <c r="F2" s="10" t="str">
        <f>IF(E2&lt;20%,"Low Discount",IF(E2&gt;40%,"High Discount","Medium Discount"))</f>
        <v>Medium Discount</v>
      </c>
      <c r="G2" s="11">
        <v>2</v>
      </c>
      <c r="H2" s="8">
        <v>4.5</v>
      </c>
      <c r="I2" s="12" t="str">
        <f>IF(H2="", "", IF(H2&lt;3,"Poor",IF(H2&gt;4.5,"Excellent","Average")))</f>
        <v>Average</v>
      </c>
      <c r="K2" s="27" t="s">
        <v>328</v>
      </c>
    </row>
    <row r="3" spans="1:13" x14ac:dyDescent="0.25">
      <c r="A3" s="13" t="s">
        <v>5</v>
      </c>
      <c r="B3" s="13">
        <v>527</v>
      </c>
      <c r="C3" s="13">
        <v>999</v>
      </c>
      <c r="D3" s="14">
        <f t="shared" ref="D3:D66" si="0">C3-B3</f>
        <v>472</v>
      </c>
      <c r="E3" s="15">
        <v>0.47</v>
      </c>
      <c r="F3" s="15" t="str">
        <f t="shared" ref="F3:F66" si="1">IF(E3&lt;20%,"Low Discount",IF(E3&gt;40%,"High Discount","Medium Discount"))</f>
        <v>High Discount</v>
      </c>
      <c r="G3" s="16">
        <v>14</v>
      </c>
      <c r="H3" s="13">
        <v>4.0999999999999996</v>
      </c>
      <c r="I3" s="17" t="str">
        <f t="shared" ref="I3:I66" si="2">IF(H3="", "", IF(H3&lt;3,"Poor",IF(H3&gt;4.5,"Excellent","Average")))</f>
        <v>Average</v>
      </c>
      <c r="K3" t="s">
        <v>329</v>
      </c>
      <c r="L3">
        <f>AVERAGE(B:B)</f>
        <v>1188.5</v>
      </c>
    </row>
    <row r="4" spans="1:13" x14ac:dyDescent="0.25">
      <c r="A4" s="18" t="s">
        <v>6</v>
      </c>
      <c r="B4" s="19">
        <v>2199</v>
      </c>
      <c r="C4" s="19">
        <v>2923</v>
      </c>
      <c r="D4" s="19">
        <f t="shared" si="0"/>
        <v>724</v>
      </c>
      <c r="E4" s="20">
        <v>0.25</v>
      </c>
      <c r="F4" s="20" t="str">
        <f t="shared" si="1"/>
        <v>Medium Discount</v>
      </c>
      <c r="G4" s="21">
        <v>24</v>
      </c>
      <c r="H4" s="18">
        <v>4.5999999999999996</v>
      </c>
      <c r="I4" s="22" t="str">
        <f t="shared" si="2"/>
        <v>Excellent</v>
      </c>
      <c r="K4" t="s">
        <v>330</v>
      </c>
      <c r="L4">
        <f>AVERAGE(C:C)</f>
        <v>1815.5714285714287</v>
      </c>
    </row>
    <row r="5" spans="1:13" x14ac:dyDescent="0.25">
      <c r="A5" s="13" t="s">
        <v>7</v>
      </c>
      <c r="B5" s="14">
        <v>1580</v>
      </c>
      <c r="C5" s="14">
        <v>2499</v>
      </c>
      <c r="D5" s="14">
        <f t="shared" si="0"/>
        <v>919</v>
      </c>
      <c r="E5" s="15">
        <v>0.37</v>
      </c>
      <c r="F5" s="15" t="str">
        <f t="shared" si="1"/>
        <v>Medium Discount</v>
      </c>
      <c r="G5" s="16">
        <v>7</v>
      </c>
      <c r="H5" s="13">
        <v>4.7</v>
      </c>
      <c r="I5" s="17" t="str">
        <f t="shared" si="2"/>
        <v>Excellent</v>
      </c>
      <c r="K5" t="s">
        <v>332</v>
      </c>
      <c r="L5" s="28">
        <f>AVERAGE(E:E)</f>
        <v>0.36776785714285715</v>
      </c>
    </row>
    <row r="6" spans="1:13" x14ac:dyDescent="0.25">
      <c r="A6" s="18" t="s">
        <v>8</v>
      </c>
      <c r="B6" s="19">
        <v>1740</v>
      </c>
      <c r="C6" s="19">
        <v>2356</v>
      </c>
      <c r="D6" s="19">
        <f t="shared" si="0"/>
        <v>616</v>
      </c>
      <c r="E6" s="20">
        <v>0.26</v>
      </c>
      <c r="F6" s="20" t="str">
        <f t="shared" si="1"/>
        <v>Medium Discount</v>
      </c>
      <c r="G6" s="21">
        <v>5</v>
      </c>
      <c r="H6" s="18">
        <v>4.8</v>
      </c>
      <c r="I6" s="22" t="str">
        <f t="shared" si="2"/>
        <v>Excellent</v>
      </c>
      <c r="K6" t="s">
        <v>331</v>
      </c>
      <c r="L6">
        <f>AVERAGE(H:H)</f>
        <v>3.8894736842105253</v>
      </c>
    </row>
    <row r="7" spans="1:13" x14ac:dyDescent="0.25">
      <c r="A7" s="13" t="s">
        <v>9</v>
      </c>
      <c r="B7" s="14">
        <v>2999</v>
      </c>
      <c r="C7" s="14">
        <v>3290</v>
      </c>
      <c r="D7" s="14">
        <f t="shared" si="0"/>
        <v>291</v>
      </c>
      <c r="E7" s="15">
        <v>0.09</v>
      </c>
      <c r="F7" s="15" t="str">
        <f t="shared" si="1"/>
        <v>Low Discount</v>
      </c>
      <c r="G7" s="16">
        <v>15</v>
      </c>
      <c r="H7" s="13">
        <v>4</v>
      </c>
      <c r="I7" s="17" t="str">
        <f t="shared" si="2"/>
        <v>Average</v>
      </c>
    </row>
    <row r="8" spans="1:13" x14ac:dyDescent="0.25">
      <c r="A8" s="18" t="s">
        <v>10</v>
      </c>
      <c r="B8" s="19">
        <v>2319</v>
      </c>
      <c r="C8" s="19">
        <v>3032</v>
      </c>
      <c r="D8" s="19">
        <f t="shared" si="0"/>
        <v>713</v>
      </c>
      <c r="E8" s="20">
        <v>0.24</v>
      </c>
      <c r="F8" s="20" t="str">
        <f t="shared" si="1"/>
        <v>Medium Discount</v>
      </c>
      <c r="G8" s="21">
        <v>55</v>
      </c>
      <c r="H8" s="18">
        <v>4.5999999999999996</v>
      </c>
      <c r="I8" s="22" t="str">
        <f t="shared" si="2"/>
        <v>Excellent</v>
      </c>
      <c r="K8" s="27" t="s">
        <v>333</v>
      </c>
    </row>
    <row r="9" spans="1:13" x14ac:dyDescent="0.25">
      <c r="A9" s="13" t="s">
        <v>11</v>
      </c>
      <c r="B9" s="13">
        <v>988</v>
      </c>
      <c r="C9" s="14">
        <v>1580</v>
      </c>
      <c r="D9" s="14">
        <f t="shared" si="0"/>
        <v>592</v>
      </c>
      <c r="E9" s="15">
        <v>0.37</v>
      </c>
      <c r="F9" s="15" t="str">
        <f t="shared" si="1"/>
        <v>Medium Discount</v>
      </c>
      <c r="G9" s="16">
        <v>2</v>
      </c>
      <c r="H9" s="13">
        <v>4</v>
      </c>
      <c r="I9" s="17" t="str">
        <f t="shared" si="2"/>
        <v>Average</v>
      </c>
      <c r="K9" t="s">
        <v>334</v>
      </c>
      <c r="L9">
        <f>MAX(B:B)</f>
        <v>3750</v>
      </c>
      <c r="M9" t="s">
        <v>70</v>
      </c>
    </row>
    <row r="10" spans="1:13" x14ac:dyDescent="0.25">
      <c r="A10" s="18" t="s">
        <v>12</v>
      </c>
      <c r="B10" s="19">
        <v>1274</v>
      </c>
      <c r="C10" s="19">
        <v>2800</v>
      </c>
      <c r="D10" s="19">
        <f t="shared" si="0"/>
        <v>1526</v>
      </c>
      <c r="E10" s="20">
        <v>0.55000000000000004</v>
      </c>
      <c r="F10" s="20" t="str">
        <f t="shared" si="1"/>
        <v>High Discount</v>
      </c>
      <c r="G10" s="21">
        <v>5</v>
      </c>
      <c r="H10" s="18">
        <v>4.8</v>
      </c>
      <c r="I10" s="22" t="str">
        <f t="shared" si="2"/>
        <v>Excellent</v>
      </c>
      <c r="K10" t="s">
        <v>335</v>
      </c>
      <c r="L10">
        <f>MIN(B:B)</f>
        <v>38</v>
      </c>
      <c r="M10" t="s">
        <v>24</v>
      </c>
    </row>
    <row r="11" spans="1:13" x14ac:dyDescent="0.25">
      <c r="A11" s="13" t="s">
        <v>13</v>
      </c>
      <c r="B11" s="14">
        <v>1600</v>
      </c>
      <c r="C11" s="14">
        <v>2929</v>
      </c>
      <c r="D11" s="14">
        <f t="shared" si="0"/>
        <v>1329</v>
      </c>
      <c r="E11" s="15">
        <v>0.45</v>
      </c>
      <c r="F11" s="15" t="str">
        <f t="shared" si="1"/>
        <v>High Discount</v>
      </c>
      <c r="G11" s="16">
        <v>5</v>
      </c>
      <c r="H11" s="13">
        <v>3.8</v>
      </c>
      <c r="I11" s="17" t="str">
        <f t="shared" si="2"/>
        <v>Average</v>
      </c>
    </row>
    <row r="12" spans="1:13" x14ac:dyDescent="0.25">
      <c r="A12" s="18" t="s">
        <v>14</v>
      </c>
      <c r="B12" s="18">
        <v>799</v>
      </c>
      <c r="C12" s="18">
        <v>999</v>
      </c>
      <c r="D12" s="19">
        <f t="shared" si="0"/>
        <v>200</v>
      </c>
      <c r="E12" s="20">
        <v>0.2</v>
      </c>
      <c r="F12" s="20" t="str">
        <f t="shared" si="1"/>
        <v>Medium Discount</v>
      </c>
      <c r="G12" s="21">
        <v>12</v>
      </c>
      <c r="H12" s="18">
        <v>4.0999999999999996</v>
      </c>
      <c r="I12" s="22" t="str">
        <f t="shared" si="2"/>
        <v>Average</v>
      </c>
      <c r="K12" s="27" t="s">
        <v>336</v>
      </c>
    </row>
    <row r="13" spans="1:13" x14ac:dyDescent="0.25">
      <c r="A13" s="13" t="s">
        <v>15</v>
      </c>
      <c r="B13" s="13">
        <v>990</v>
      </c>
      <c r="C13" s="14">
        <v>1500</v>
      </c>
      <c r="D13" s="14">
        <f t="shared" si="0"/>
        <v>510</v>
      </c>
      <c r="E13" s="15">
        <v>0.34</v>
      </c>
      <c r="F13" s="15" t="str">
        <f t="shared" si="1"/>
        <v>Medium Discount</v>
      </c>
      <c r="G13" s="16">
        <v>39</v>
      </c>
      <c r="H13" s="13">
        <v>4.7</v>
      </c>
      <c r="I13" s="17" t="str">
        <f t="shared" si="2"/>
        <v>Excellent</v>
      </c>
      <c r="K13" t="s">
        <v>337</v>
      </c>
      <c r="L13" s="29">
        <f>AVERAGEIF(F:F, "Low Discount", E:E)</f>
        <v>7.2222222222222243E-2</v>
      </c>
    </row>
    <row r="14" spans="1:13" x14ac:dyDescent="0.25">
      <c r="A14" s="18" t="s">
        <v>16</v>
      </c>
      <c r="B14" s="18">
        <v>552</v>
      </c>
      <c r="C14" s="19">
        <v>1035</v>
      </c>
      <c r="D14" s="19">
        <f t="shared" si="0"/>
        <v>483</v>
      </c>
      <c r="E14" s="20">
        <v>0.47</v>
      </c>
      <c r="F14" s="20" t="str">
        <f t="shared" si="1"/>
        <v>High Discount</v>
      </c>
      <c r="G14" s="21">
        <v>12</v>
      </c>
      <c r="H14" s="18">
        <v>4.8</v>
      </c>
      <c r="I14" s="22" t="str">
        <f t="shared" si="2"/>
        <v>Excellent</v>
      </c>
      <c r="K14" t="s">
        <v>338</v>
      </c>
      <c r="L14" s="29">
        <f>AVERAGEIF(F:F, "Medium Discount", E:E)</f>
        <v>0.30999999999999994</v>
      </c>
    </row>
    <row r="15" spans="1:13" x14ac:dyDescent="0.25">
      <c r="A15" s="13" t="s">
        <v>17</v>
      </c>
      <c r="B15" s="13">
        <v>501</v>
      </c>
      <c r="C15" s="13">
        <v>860</v>
      </c>
      <c r="D15" s="14">
        <f t="shared" si="0"/>
        <v>359</v>
      </c>
      <c r="E15" s="15">
        <v>0.42</v>
      </c>
      <c r="F15" s="15" t="str">
        <f t="shared" si="1"/>
        <v>High Discount</v>
      </c>
      <c r="G15" s="16">
        <v>6</v>
      </c>
      <c r="H15" s="13">
        <v>4.5</v>
      </c>
      <c r="I15" s="17" t="str">
        <f t="shared" si="2"/>
        <v>Average</v>
      </c>
      <c r="K15" t="s">
        <v>339</v>
      </c>
      <c r="L15" s="29">
        <f>AVERAGEIF(F:F, "High Discount", E:E)</f>
        <v>0.48338709677419334</v>
      </c>
    </row>
    <row r="16" spans="1:13" x14ac:dyDescent="0.25">
      <c r="A16" s="18" t="s">
        <v>18</v>
      </c>
      <c r="B16" s="19">
        <v>1680</v>
      </c>
      <c r="C16" s="19">
        <v>2499</v>
      </c>
      <c r="D16" s="19">
        <f t="shared" si="0"/>
        <v>819</v>
      </c>
      <c r="E16" s="20">
        <v>0.33</v>
      </c>
      <c r="F16" s="20" t="str">
        <f t="shared" si="1"/>
        <v>Medium Discount</v>
      </c>
      <c r="G16" s="21">
        <v>9</v>
      </c>
      <c r="H16" s="18">
        <v>4.2</v>
      </c>
      <c r="I16" s="22" t="str">
        <f t="shared" si="2"/>
        <v>Average</v>
      </c>
    </row>
    <row r="17" spans="1:12" x14ac:dyDescent="0.25">
      <c r="A17" s="13" t="s">
        <v>19</v>
      </c>
      <c r="B17" s="13">
        <v>332</v>
      </c>
      <c r="C17" s="13">
        <v>684</v>
      </c>
      <c r="D17" s="14">
        <f t="shared" si="0"/>
        <v>352</v>
      </c>
      <c r="E17" s="15">
        <v>0.51</v>
      </c>
      <c r="F17" s="15" t="str">
        <f t="shared" si="1"/>
        <v>High Discount</v>
      </c>
      <c r="G17" s="16">
        <v>2</v>
      </c>
      <c r="H17" s="13">
        <v>5</v>
      </c>
      <c r="I17" s="17" t="str">
        <f t="shared" si="2"/>
        <v>Excellent</v>
      </c>
      <c r="K17" s="27" t="s">
        <v>340</v>
      </c>
    </row>
    <row r="18" spans="1:12" x14ac:dyDescent="0.25">
      <c r="A18" s="18" t="s">
        <v>20</v>
      </c>
      <c r="B18" s="18">
        <v>195</v>
      </c>
      <c r="C18" s="18">
        <v>360</v>
      </c>
      <c r="D18" s="19">
        <f t="shared" si="0"/>
        <v>165</v>
      </c>
      <c r="E18" s="20">
        <v>0.46</v>
      </c>
      <c r="F18" s="20" t="str">
        <f t="shared" si="1"/>
        <v>High Discount</v>
      </c>
      <c r="G18" s="21">
        <v>2</v>
      </c>
      <c r="H18" s="18">
        <v>5</v>
      </c>
      <c r="I18" s="22" t="str">
        <f t="shared" si="2"/>
        <v>Excellent</v>
      </c>
      <c r="K18" t="s">
        <v>341</v>
      </c>
      <c r="L18">
        <f>AVERAGEIF(I:I, "Excellent", H:H)</f>
        <v>4.8</v>
      </c>
    </row>
    <row r="19" spans="1:12" x14ac:dyDescent="0.25">
      <c r="A19" s="13" t="s">
        <v>21</v>
      </c>
      <c r="B19" s="14">
        <v>2025</v>
      </c>
      <c r="C19" s="14">
        <v>3971</v>
      </c>
      <c r="D19" s="14">
        <f t="shared" si="0"/>
        <v>1946</v>
      </c>
      <c r="E19" s="15">
        <v>0.49</v>
      </c>
      <c r="F19" s="15" t="str">
        <f t="shared" si="1"/>
        <v>High Discount</v>
      </c>
      <c r="G19" s="16">
        <v>3</v>
      </c>
      <c r="H19" s="13">
        <v>5</v>
      </c>
      <c r="I19" s="17" t="str">
        <f t="shared" si="2"/>
        <v>Excellent</v>
      </c>
      <c r="K19" t="s">
        <v>342</v>
      </c>
      <c r="L19" s="30">
        <f>AVERAGEIF(I:I, "Average", H:H)</f>
        <v>3.9153846153846148</v>
      </c>
    </row>
    <row r="20" spans="1:12" x14ac:dyDescent="0.25">
      <c r="A20" s="18" t="s">
        <v>22</v>
      </c>
      <c r="B20" s="19">
        <v>2999</v>
      </c>
      <c r="C20" s="19">
        <v>3699</v>
      </c>
      <c r="D20" s="19">
        <f t="shared" si="0"/>
        <v>700</v>
      </c>
      <c r="E20" s="20">
        <v>0.19</v>
      </c>
      <c r="F20" s="20" t="str">
        <f t="shared" si="1"/>
        <v>Low Discount</v>
      </c>
      <c r="G20" s="21">
        <v>5</v>
      </c>
      <c r="H20" s="18">
        <v>4.5999999999999996</v>
      </c>
      <c r="I20" s="22" t="str">
        <f t="shared" si="2"/>
        <v>Excellent</v>
      </c>
      <c r="K20" t="s">
        <v>343</v>
      </c>
      <c r="L20" s="30">
        <f>AVERAGEIF(I:I, "Poor", H:H)</f>
        <v>2.3916666666666671</v>
      </c>
    </row>
    <row r="21" spans="1:12" x14ac:dyDescent="0.25">
      <c r="A21" s="13" t="s">
        <v>23</v>
      </c>
      <c r="B21" s="13">
        <v>998</v>
      </c>
      <c r="C21" s="14">
        <v>1966</v>
      </c>
      <c r="D21" s="14">
        <f t="shared" si="0"/>
        <v>968</v>
      </c>
      <c r="E21" s="15">
        <v>0.49</v>
      </c>
      <c r="F21" s="15" t="str">
        <f t="shared" si="1"/>
        <v>High Discount</v>
      </c>
      <c r="G21" s="16">
        <v>44</v>
      </c>
      <c r="H21" s="13">
        <v>4.5999999999999996</v>
      </c>
      <c r="I21" s="17" t="str">
        <f t="shared" si="2"/>
        <v>Excellent</v>
      </c>
    </row>
    <row r="22" spans="1:12" x14ac:dyDescent="0.25">
      <c r="A22" s="18" t="s">
        <v>24</v>
      </c>
      <c r="B22" s="18">
        <v>38</v>
      </c>
      <c r="C22" s="18">
        <v>80</v>
      </c>
      <c r="D22" s="19">
        <f t="shared" si="0"/>
        <v>42</v>
      </c>
      <c r="E22" s="20">
        <v>0.53</v>
      </c>
      <c r="F22" s="20" t="str">
        <f t="shared" si="1"/>
        <v>High Discount</v>
      </c>
      <c r="G22" s="21">
        <v>13</v>
      </c>
      <c r="H22" s="18">
        <v>3.3</v>
      </c>
      <c r="I22" s="22" t="str">
        <f t="shared" si="2"/>
        <v>Average</v>
      </c>
    </row>
    <row r="23" spans="1:12" x14ac:dyDescent="0.25">
      <c r="A23" s="13" t="s">
        <v>25</v>
      </c>
      <c r="B23" s="14">
        <v>1860</v>
      </c>
      <c r="C23" s="14">
        <v>3220</v>
      </c>
      <c r="D23" s="14">
        <f t="shared" si="0"/>
        <v>1360</v>
      </c>
      <c r="E23" s="15">
        <v>0.42</v>
      </c>
      <c r="F23" s="15" t="str">
        <f t="shared" si="1"/>
        <v>High Discount</v>
      </c>
      <c r="G23" s="16"/>
      <c r="H23" s="13"/>
      <c r="I23" s="17" t="str">
        <f t="shared" si="2"/>
        <v/>
      </c>
    </row>
    <row r="24" spans="1:12" x14ac:dyDescent="0.25">
      <c r="A24" s="18" t="s">
        <v>26</v>
      </c>
      <c r="B24" s="18">
        <v>880</v>
      </c>
      <c r="C24" s="19">
        <v>1350</v>
      </c>
      <c r="D24" s="19">
        <f t="shared" si="0"/>
        <v>470</v>
      </c>
      <c r="E24" s="20">
        <v>0.35</v>
      </c>
      <c r="F24" s="20" t="str">
        <f t="shared" si="1"/>
        <v>Medium Discount</v>
      </c>
      <c r="G24" s="21">
        <v>6</v>
      </c>
      <c r="H24" s="18">
        <v>4</v>
      </c>
      <c r="I24" s="22" t="str">
        <f t="shared" si="2"/>
        <v>Average</v>
      </c>
    </row>
    <row r="25" spans="1:12" x14ac:dyDescent="0.25">
      <c r="A25" s="13" t="s">
        <v>27</v>
      </c>
      <c r="B25" s="14">
        <v>1650</v>
      </c>
      <c r="C25" s="14">
        <v>2150</v>
      </c>
      <c r="D25" s="14">
        <f t="shared" si="0"/>
        <v>500</v>
      </c>
      <c r="E25" s="15">
        <v>0.23</v>
      </c>
      <c r="F25" s="15" t="str">
        <f t="shared" si="1"/>
        <v>Medium Discount</v>
      </c>
      <c r="G25" s="16">
        <v>14</v>
      </c>
      <c r="H25" s="13">
        <v>4.4000000000000004</v>
      </c>
      <c r="I25" s="17" t="str">
        <f t="shared" si="2"/>
        <v>Average</v>
      </c>
    </row>
    <row r="26" spans="1:12" x14ac:dyDescent="0.25">
      <c r="A26" s="18" t="s">
        <v>28</v>
      </c>
      <c r="B26" s="19">
        <v>2048</v>
      </c>
      <c r="C26" s="19">
        <v>4500</v>
      </c>
      <c r="D26" s="19">
        <f t="shared" si="0"/>
        <v>2452</v>
      </c>
      <c r="E26" s="20">
        <v>0.54</v>
      </c>
      <c r="F26" s="20" t="str">
        <f t="shared" si="1"/>
        <v>High Discount</v>
      </c>
      <c r="G26" s="21">
        <v>7</v>
      </c>
      <c r="H26" s="18">
        <v>4.3</v>
      </c>
      <c r="I26" s="22" t="str">
        <f t="shared" si="2"/>
        <v>Average</v>
      </c>
    </row>
    <row r="27" spans="1:12" x14ac:dyDescent="0.25">
      <c r="A27" s="13" t="s">
        <v>29</v>
      </c>
      <c r="B27" s="13">
        <v>420</v>
      </c>
      <c r="C27" s="13">
        <v>647</v>
      </c>
      <c r="D27" s="14">
        <f t="shared" si="0"/>
        <v>227</v>
      </c>
      <c r="E27" s="15">
        <v>0.35</v>
      </c>
      <c r="F27" s="15" t="str">
        <f t="shared" si="1"/>
        <v>Medium Discount</v>
      </c>
      <c r="G27" s="16">
        <v>49</v>
      </c>
      <c r="H27" s="13">
        <v>4.5999999999999996</v>
      </c>
      <c r="I27" s="17" t="str">
        <f t="shared" si="2"/>
        <v>Excellent</v>
      </c>
    </row>
    <row r="28" spans="1:12" x14ac:dyDescent="0.25">
      <c r="A28" s="18" t="s">
        <v>30</v>
      </c>
      <c r="B28" s="19">
        <v>2880</v>
      </c>
      <c r="C28" s="19">
        <v>3520</v>
      </c>
      <c r="D28" s="19">
        <f t="shared" si="0"/>
        <v>640</v>
      </c>
      <c r="E28" s="20">
        <v>0.18</v>
      </c>
      <c r="F28" s="20" t="str">
        <f t="shared" si="1"/>
        <v>Low Discount</v>
      </c>
      <c r="G28" s="21">
        <v>12</v>
      </c>
      <c r="H28" s="18">
        <v>3.8</v>
      </c>
      <c r="I28" s="22" t="str">
        <f t="shared" si="2"/>
        <v>Average</v>
      </c>
    </row>
    <row r="29" spans="1:12" x14ac:dyDescent="0.25">
      <c r="A29" s="13" t="s">
        <v>31</v>
      </c>
      <c r="B29" s="14">
        <v>1350</v>
      </c>
      <c r="C29" s="14">
        <v>1990</v>
      </c>
      <c r="D29" s="14">
        <f t="shared" si="0"/>
        <v>640</v>
      </c>
      <c r="E29" s="15">
        <v>0.32</v>
      </c>
      <c r="F29" s="15" t="str">
        <f t="shared" si="1"/>
        <v>Medium Discount</v>
      </c>
      <c r="G29" s="16">
        <v>13</v>
      </c>
      <c r="H29" s="13">
        <v>3.8</v>
      </c>
      <c r="I29" s="17" t="str">
        <f t="shared" si="2"/>
        <v>Average</v>
      </c>
    </row>
    <row r="30" spans="1:12" x14ac:dyDescent="0.25">
      <c r="A30" s="18" t="s">
        <v>32</v>
      </c>
      <c r="B30" s="19">
        <v>1758</v>
      </c>
      <c r="C30" s="19">
        <v>2499</v>
      </c>
      <c r="D30" s="19">
        <f t="shared" si="0"/>
        <v>741</v>
      </c>
      <c r="E30" s="20">
        <v>0.3</v>
      </c>
      <c r="F30" s="20" t="str">
        <f t="shared" si="1"/>
        <v>Medium Discount</v>
      </c>
      <c r="G30" s="21">
        <v>2</v>
      </c>
      <c r="H30" s="18">
        <v>4.0999999999999996</v>
      </c>
      <c r="I30" s="22" t="str">
        <f t="shared" si="2"/>
        <v>Average</v>
      </c>
    </row>
    <row r="31" spans="1:12" x14ac:dyDescent="0.25">
      <c r="A31" s="13" t="s">
        <v>33</v>
      </c>
      <c r="B31" s="14">
        <v>2200</v>
      </c>
      <c r="C31" s="14">
        <v>4080</v>
      </c>
      <c r="D31" s="14">
        <f t="shared" si="0"/>
        <v>1880</v>
      </c>
      <c r="E31" s="15">
        <v>0.46</v>
      </c>
      <c r="F31" s="15" t="str">
        <f t="shared" si="1"/>
        <v>High Discount</v>
      </c>
      <c r="G31" s="16"/>
      <c r="H31" s="13"/>
      <c r="I31" s="17" t="str">
        <f t="shared" si="2"/>
        <v/>
      </c>
    </row>
    <row r="32" spans="1:12" x14ac:dyDescent="0.25">
      <c r="A32" s="18" t="s">
        <v>34</v>
      </c>
      <c r="B32" s="18">
        <v>185</v>
      </c>
      <c r="C32" s="18">
        <v>382</v>
      </c>
      <c r="D32" s="19">
        <f t="shared" si="0"/>
        <v>197</v>
      </c>
      <c r="E32" s="20">
        <v>0.52</v>
      </c>
      <c r="F32" s="20" t="str">
        <f t="shared" si="1"/>
        <v>High Discount</v>
      </c>
      <c r="G32" s="21">
        <v>9</v>
      </c>
      <c r="H32" s="18">
        <v>4.3</v>
      </c>
      <c r="I32" s="22" t="str">
        <f t="shared" si="2"/>
        <v>Average</v>
      </c>
    </row>
    <row r="33" spans="1:9" x14ac:dyDescent="0.25">
      <c r="A33" s="13" t="s">
        <v>35</v>
      </c>
      <c r="B33" s="13">
        <v>980</v>
      </c>
      <c r="C33" s="14">
        <v>1490</v>
      </c>
      <c r="D33" s="14">
        <f t="shared" si="0"/>
        <v>510</v>
      </c>
      <c r="E33" s="15">
        <v>0.34</v>
      </c>
      <c r="F33" s="15" t="str">
        <f t="shared" si="1"/>
        <v>Medium Discount</v>
      </c>
      <c r="G33" s="16">
        <v>12</v>
      </c>
      <c r="H33" s="13">
        <v>4.7</v>
      </c>
      <c r="I33" s="17" t="str">
        <f t="shared" si="2"/>
        <v>Excellent</v>
      </c>
    </row>
    <row r="34" spans="1:9" x14ac:dyDescent="0.25">
      <c r="A34" s="18" t="s">
        <v>36</v>
      </c>
      <c r="B34" s="19">
        <v>1820</v>
      </c>
      <c r="C34" s="19">
        <v>3490</v>
      </c>
      <c r="D34" s="19">
        <f t="shared" si="0"/>
        <v>1670</v>
      </c>
      <c r="E34" s="20">
        <v>0.48</v>
      </c>
      <c r="F34" s="20" t="str">
        <f t="shared" si="1"/>
        <v>High Discount</v>
      </c>
      <c r="G34" s="21">
        <v>9</v>
      </c>
      <c r="H34" s="18">
        <v>4.3</v>
      </c>
      <c r="I34" s="22" t="str">
        <f t="shared" si="2"/>
        <v>Average</v>
      </c>
    </row>
    <row r="35" spans="1:9" x14ac:dyDescent="0.25">
      <c r="A35" s="13" t="s">
        <v>37</v>
      </c>
      <c r="B35" s="14">
        <v>1940</v>
      </c>
      <c r="C35" s="14">
        <v>2650</v>
      </c>
      <c r="D35" s="14">
        <f t="shared" si="0"/>
        <v>710</v>
      </c>
      <c r="E35" s="15">
        <v>0.27</v>
      </c>
      <c r="F35" s="15" t="str">
        <f t="shared" si="1"/>
        <v>Medium Discount</v>
      </c>
      <c r="G35" s="16">
        <v>2</v>
      </c>
      <c r="H35" s="13">
        <v>4.7</v>
      </c>
      <c r="I35" s="17" t="str">
        <f t="shared" si="2"/>
        <v>Excellent</v>
      </c>
    </row>
    <row r="36" spans="1:9" x14ac:dyDescent="0.25">
      <c r="A36" s="18" t="s">
        <v>38</v>
      </c>
      <c r="B36" s="19">
        <v>1980</v>
      </c>
      <c r="C36" s="19">
        <v>2699</v>
      </c>
      <c r="D36" s="19">
        <f t="shared" si="0"/>
        <v>719</v>
      </c>
      <c r="E36" s="20">
        <v>0.27</v>
      </c>
      <c r="F36" s="20" t="str">
        <f t="shared" si="1"/>
        <v>Medium Discount</v>
      </c>
      <c r="G36" s="21">
        <v>32</v>
      </c>
      <c r="H36" s="18">
        <v>4.5</v>
      </c>
      <c r="I36" s="22" t="str">
        <f t="shared" si="2"/>
        <v>Average</v>
      </c>
    </row>
    <row r="37" spans="1:9" x14ac:dyDescent="0.25">
      <c r="A37" s="13" t="s">
        <v>39</v>
      </c>
      <c r="B37" s="14">
        <v>1620</v>
      </c>
      <c r="C37" s="14">
        <v>2690</v>
      </c>
      <c r="D37" s="14">
        <f t="shared" si="0"/>
        <v>1070</v>
      </c>
      <c r="E37" s="15">
        <v>0.4</v>
      </c>
      <c r="F37" s="15" t="str">
        <f t="shared" si="1"/>
        <v>Medium Discount</v>
      </c>
      <c r="G37" s="16">
        <v>1</v>
      </c>
      <c r="H37" s="13">
        <v>5</v>
      </c>
      <c r="I37" s="17" t="str">
        <f t="shared" si="2"/>
        <v>Excellent</v>
      </c>
    </row>
    <row r="38" spans="1:9" x14ac:dyDescent="0.25">
      <c r="A38" s="18" t="s">
        <v>40</v>
      </c>
      <c r="B38" s="18">
        <v>171</v>
      </c>
      <c r="C38" s="18">
        <v>360</v>
      </c>
      <c r="D38" s="19">
        <f t="shared" si="0"/>
        <v>189</v>
      </c>
      <c r="E38" s="20">
        <v>0.53</v>
      </c>
      <c r="F38" s="20" t="str">
        <f t="shared" si="1"/>
        <v>High Discount</v>
      </c>
      <c r="G38" s="21">
        <v>2</v>
      </c>
      <c r="H38" s="18">
        <v>5</v>
      </c>
      <c r="I38" s="22" t="str">
        <f t="shared" si="2"/>
        <v>Excellent</v>
      </c>
    </row>
    <row r="39" spans="1:9" x14ac:dyDescent="0.25">
      <c r="A39" s="13" t="s">
        <v>41</v>
      </c>
      <c r="B39" s="13">
        <v>389</v>
      </c>
      <c r="C39" s="13">
        <v>656</v>
      </c>
      <c r="D39" s="14">
        <f t="shared" si="0"/>
        <v>267</v>
      </c>
      <c r="E39" s="15">
        <v>0.41</v>
      </c>
      <c r="F39" s="15" t="str">
        <f t="shared" si="1"/>
        <v>High Discount</v>
      </c>
      <c r="G39" s="16">
        <v>36</v>
      </c>
      <c r="H39" s="13">
        <v>4.3</v>
      </c>
      <c r="I39" s="17" t="str">
        <f t="shared" si="2"/>
        <v>Average</v>
      </c>
    </row>
    <row r="40" spans="1:9" x14ac:dyDescent="0.25">
      <c r="A40" s="18" t="s">
        <v>42</v>
      </c>
      <c r="B40" s="19">
        <v>1980</v>
      </c>
      <c r="C40" s="19">
        <v>3200</v>
      </c>
      <c r="D40" s="19">
        <f t="shared" si="0"/>
        <v>1220</v>
      </c>
      <c r="E40" s="20">
        <v>0.38</v>
      </c>
      <c r="F40" s="20" t="str">
        <f t="shared" si="1"/>
        <v>Medium Discount</v>
      </c>
      <c r="G40" s="21">
        <v>2</v>
      </c>
      <c r="H40" s="18">
        <v>4.5</v>
      </c>
      <c r="I40" s="22" t="str">
        <f t="shared" si="2"/>
        <v>Average</v>
      </c>
    </row>
    <row r="41" spans="1:9" x14ac:dyDescent="0.25">
      <c r="A41" s="13" t="s">
        <v>43</v>
      </c>
      <c r="B41" s="14">
        <v>2750</v>
      </c>
      <c r="C41" s="14">
        <v>4471</v>
      </c>
      <c r="D41" s="14">
        <f t="shared" si="0"/>
        <v>1721</v>
      </c>
      <c r="E41" s="15">
        <v>0.38</v>
      </c>
      <c r="F41" s="15" t="str">
        <f t="shared" si="1"/>
        <v>Medium Discount</v>
      </c>
      <c r="G41" s="16"/>
      <c r="H41" s="13"/>
      <c r="I41" s="17" t="str">
        <f t="shared" si="2"/>
        <v/>
      </c>
    </row>
    <row r="42" spans="1:9" x14ac:dyDescent="0.25">
      <c r="A42" s="18" t="s">
        <v>44</v>
      </c>
      <c r="B42" s="18">
        <v>475</v>
      </c>
      <c r="C42" s="18">
        <v>931</v>
      </c>
      <c r="D42" s="19">
        <f t="shared" si="0"/>
        <v>456</v>
      </c>
      <c r="E42" s="20">
        <v>0.49</v>
      </c>
      <c r="F42" s="20" t="str">
        <f t="shared" si="1"/>
        <v>High Discount</v>
      </c>
      <c r="G42" s="21"/>
      <c r="H42" s="18"/>
      <c r="I42" s="22" t="str">
        <f t="shared" si="2"/>
        <v/>
      </c>
    </row>
    <row r="43" spans="1:9" x14ac:dyDescent="0.25">
      <c r="A43" s="13" t="s">
        <v>45</v>
      </c>
      <c r="B43" s="13">
        <v>238</v>
      </c>
      <c r="C43" s="13">
        <v>476</v>
      </c>
      <c r="D43" s="14">
        <f t="shared" si="0"/>
        <v>238</v>
      </c>
      <c r="E43" s="15">
        <v>0.5</v>
      </c>
      <c r="F43" s="15" t="str">
        <f t="shared" si="1"/>
        <v>High Discount</v>
      </c>
      <c r="G43" s="16"/>
      <c r="H43" s="13"/>
      <c r="I43" s="17" t="str">
        <f t="shared" si="2"/>
        <v/>
      </c>
    </row>
    <row r="44" spans="1:9" x14ac:dyDescent="0.25">
      <c r="A44" s="18" t="s">
        <v>46</v>
      </c>
      <c r="B44" s="18">
        <v>610</v>
      </c>
      <c r="C44" s="19">
        <v>1060</v>
      </c>
      <c r="D44" s="19">
        <f t="shared" si="0"/>
        <v>450</v>
      </c>
      <c r="E44" s="20">
        <v>0.42</v>
      </c>
      <c r="F44" s="20" t="str">
        <f t="shared" si="1"/>
        <v>High Discount</v>
      </c>
      <c r="G44" s="21"/>
      <c r="H44" s="18"/>
      <c r="I44" s="22" t="str">
        <f t="shared" si="2"/>
        <v/>
      </c>
    </row>
    <row r="45" spans="1:9" x14ac:dyDescent="0.25">
      <c r="A45" s="13" t="s">
        <v>47</v>
      </c>
      <c r="B45" s="14">
        <v>2132</v>
      </c>
      <c r="C45" s="14">
        <v>2169</v>
      </c>
      <c r="D45" s="14">
        <f t="shared" si="0"/>
        <v>37</v>
      </c>
      <c r="E45" s="15">
        <v>0.02</v>
      </c>
      <c r="F45" s="15" t="str">
        <f t="shared" si="1"/>
        <v>Low Discount</v>
      </c>
      <c r="G45" s="16"/>
      <c r="H45" s="13"/>
      <c r="I45" s="17" t="str">
        <f t="shared" si="2"/>
        <v/>
      </c>
    </row>
    <row r="46" spans="1:9" x14ac:dyDescent="0.25">
      <c r="A46" s="18" t="s">
        <v>48</v>
      </c>
      <c r="B46" s="18">
        <v>999</v>
      </c>
      <c r="C46" s="19">
        <v>2000</v>
      </c>
      <c r="D46" s="19">
        <f t="shared" si="0"/>
        <v>1001</v>
      </c>
      <c r="E46" s="20">
        <v>0.5</v>
      </c>
      <c r="F46" s="20" t="str">
        <f t="shared" si="1"/>
        <v>High Discount</v>
      </c>
      <c r="G46" s="21"/>
      <c r="H46" s="18"/>
      <c r="I46" s="22" t="str">
        <f t="shared" si="2"/>
        <v/>
      </c>
    </row>
    <row r="47" spans="1:9" x14ac:dyDescent="0.25">
      <c r="A47" s="13" t="s">
        <v>49</v>
      </c>
      <c r="B47" s="14">
        <v>1190</v>
      </c>
      <c r="C47" s="14">
        <v>1785</v>
      </c>
      <c r="D47" s="14">
        <f t="shared" si="0"/>
        <v>595</v>
      </c>
      <c r="E47" s="15">
        <v>0.33</v>
      </c>
      <c r="F47" s="15" t="str">
        <f t="shared" si="1"/>
        <v>Medium Discount</v>
      </c>
      <c r="G47" s="16"/>
      <c r="H47" s="13"/>
      <c r="I47" s="17" t="str">
        <f t="shared" si="2"/>
        <v/>
      </c>
    </row>
    <row r="48" spans="1:9" x14ac:dyDescent="0.25">
      <c r="A48" s="18" t="s">
        <v>50</v>
      </c>
      <c r="B48" s="18">
        <v>671</v>
      </c>
      <c r="C48" s="19">
        <v>1316</v>
      </c>
      <c r="D48" s="19">
        <f t="shared" si="0"/>
        <v>645</v>
      </c>
      <c r="E48" s="20">
        <v>0.49</v>
      </c>
      <c r="F48" s="20" t="str">
        <f t="shared" si="1"/>
        <v>High Discount</v>
      </c>
      <c r="G48" s="21"/>
      <c r="H48" s="18"/>
      <c r="I48" s="22" t="str">
        <f t="shared" si="2"/>
        <v/>
      </c>
    </row>
    <row r="49" spans="1:9" x14ac:dyDescent="0.25">
      <c r="A49" s="13" t="s">
        <v>51</v>
      </c>
      <c r="B49" s="14">
        <v>1200</v>
      </c>
      <c r="C49" s="14">
        <v>1950</v>
      </c>
      <c r="D49" s="14">
        <f t="shared" si="0"/>
        <v>750</v>
      </c>
      <c r="E49" s="15">
        <v>0.38</v>
      </c>
      <c r="F49" s="15" t="str">
        <f t="shared" si="1"/>
        <v>Medium Discount</v>
      </c>
      <c r="G49" s="16"/>
      <c r="H49" s="13"/>
      <c r="I49" s="17" t="str">
        <f t="shared" si="2"/>
        <v/>
      </c>
    </row>
    <row r="50" spans="1:9" x14ac:dyDescent="0.25">
      <c r="A50" s="18" t="s">
        <v>52</v>
      </c>
      <c r="B50" s="18">
        <v>199</v>
      </c>
      <c r="C50" s="18">
        <v>504</v>
      </c>
      <c r="D50" s="19">
        <f t="shared" si="0"/>
        <v>305</v>
      </c>
      <c r="E50" s="20">
        <v>0.61</v>
      </c>
      <c r="F50" s="20" t="str">
        <f t="shared" si="1"/>
        <v>High Discount</v>
      </c>
      <c r="G50" s="21"/>
      <c r="H50" s="18"/>
      <c r="I50" s="22" t="str">
        <f t="shared" si="2"/>
        <v/>
      </c>
    </row>
    <row r="51" spans="1:9" x14ac:dyDescent="0.25">
      <c r="A51" s="13" t="s">
        <v>53</v>
      </c>
      <c r="B51" s="13">
        <v>299</v>
      </c>
      <c r="C51" s="13">
        <v>600</v>
      </c>
      <c r="D51" s="14">
        <f t="shared" si="0"/>
        <v>301</v>
      </c>
      <c r="E51" s="15">
        <v>0.5</v>
      </c>
      <c r="F51" s="15" t="str">
        <f t="shared" si="1"/>
        <v>High Discount</v>
      </c>
      <c r="G51" s="16"/>
      <c r="H51" s="13"/>
      <c r="I51" s="17" t="str">
        <f t="shared" si="2"/>
        <v/>
      </c>
    </row>
    <row r="52" spans="1:9" x14ac:dyDescent="0.25">
      <c r="A52" s="18" t="s">
        <v>54</v>
      </c>
      <c r="B52" s="19">
        <v>1660</v>
      </c>
      <c r="C52" s="19">
        <v>1699</v>
      </c>
      <c r="D52" s="19">
        <f t="shared" si="0"/>
        <v>39</v>
      </c>
      <c r="E52" s="20">
        <v>0.02</v>
      </c>
      <c r="F52" s="20" t="str">
        <f t="shared" si="1"/>
        <v>Low Discount</v>
      </c>
      <c r="G52" s="21"/>
      <c r="H52" s="18"/>
      <c r="I52" s="22" t="str">
        <f t="shared" si="2"/>
        <v/>
      </c>
    </row>
    <row r="53" spans="1:9" x14ac:dyDescent="0.25">
      <c r="A53" s="13" t="s">
        <v>55</v>
      </c>
      <c r="B53" s="13">
        <v>299</v>
      </c>
      <c r="C53" s="13">
        <v>384</v>
      </c>
      <c r="D53" s="14">
        <f t="shared" si="0"/>
        <v>85</v>
      </c>
      <c r="E53" s="15">
        <v>0.22</v>
      </c>
      <c r="F53" s="15" t="str">
        <f t="shared" si="1"/>
        <v>Medium Discount</v>
      </c>
      <c r="G53" s="16"/>
      <c r="H53" s="13"/>
      <c r="I53" s="17" t="str">
        <f t="shared" si="2"/>
        <v/>
      </c>
    </row>
    <row r="54" spans="1:9" x14ac:dyDescent="0.25">
      <c r="A54" s="18" t="s">
        <v>56</v>
      </c>
      <c r="B54" s="19">
        <v>1459</v>
      </c>
      <c r="C54" s="19">
        <v>1499</v>
      </c>
      <c r="D54" s="19">
        <f t="shared" si="0"/>
        <v>40</v>
      </c>
      <c r="E54" s="20">
        <v>0.03</v>
      </c>
      <c r="F54" s="20" t="str">
        <f t="shared" si="1"/>
        <v>Low Discount</v>
      </c>
      <c r="G54" s="21"/>
      <c r="H54" s="18"/>
      <c r="I54" s="22" t="str">
        <f t="shared" si="2"/>
        <v/>
      </c>
    </row>
    <row r="55" spans="1:9" x14ac:dyDescent="0.25">
      <c r="A55" s="13" t="s">
        <v>57</v>
      </c>
      <c r="B55" s="13">
        <v>799</v>
      </c>
      <c r="C55" s="14">
        <v>1343</v>
      </c>
      <c r="D55" s="14">
        <f t="shared" si="0"/>
        <v>544</v>
      </c>
      <c r="E55" s="15">
        <v>0.41</v>
      </c>
      <c r="F55" s="15" t="str">
        <f t="shared" si="1"/>
        <v>High Discount</v>
      </c>
      <c r="G55" s="16"/>
      <c r="H55" s="13"/>
      <c r="I55" s="17" t="str">
        <f t="shared" si="2"/>
        <v/>
      </c>
    </row>
    <row r="56" spans="1:9" x14ac:dyDescent="0.25">
      <c r="A56" s="18" t="s">
        <v>58</v>
      </c>
      <c r="B56" s="18">
        <v>499</v>
      </c>
      <c r="C56" s="18">
        <v>900</v>
      </c>
      <c r="D56" s="19">
        <f t="shared" si="0"/>
        <v>401</v>
      </c>
      <c r="E56" s="20">
        <v>0.45</v>
      </c>
      <c r="F56" s="20" t="str">
        <f t="shared" si="1"/>
        <v>High Discount</v>
      </c>
      <c r="G56" s="21"/>
      <c r="H56" s="18"/>
      <c r="I56" s="22" t="str">
        <f t="shared" si="2"/>
        <v/>
      </c>
    </row>
    <row r="57" spans="1:9" x14ac:dyDescent="0.25">
      <c r="A57" s="13" t="s">
        <v>59</v>
      </c>
      <c r="B57" s="13">
        <v>699</v>
      </c>
      <c r="C57" s="14">
        <v>1343</v>
      </c>
      <c r="D57" s="14">
        <f t="shared" si="0"/>
        <v>644</v>
      </c>
      <c r="E57" s="15">
        <v>0.48</v>
      </c>
      <c r="F57" s="15" t="str">
        <f t="shared" si="1"/>
        <v>High Discount</v>
      </c>
      <c r="G57" s="16"/>
      <c r="H57" s="13"/>
      <c r="I57" s="17" t="str">
        <f t="shared" si="2"/>
        <v/>
      </c>
    </row>
    <row r="58" spans="1:9" x14ac:dyDescent="0.25">
      <c r="A58" s="18" t="s">
        <v>60</v>
      </c>
      <c r="B58" s="18">
        <v>799</v>
      </c>
      <c r="C58" s="19">
        <v>1567</v>
      </c>
      <c r="D58" s="19">
        <f t="shared" si="0"/>
        <v>768</v>
      </c>
      <c r="E58" s="20">
        <v>0.49</v>
      </c>
      <c r="F58" s="20" t="str">
        <f t="shared" si="1"/>
        <v>High Discount</v>
      </c>
      <c r="G58" s="21"/>
      <c r="H58" s="18"/>
      <c r="I58" s="22" t="str">
        <f t="shared" si="2"/>
        <v/>
      </c>
    </row>
    <row r="59" spans="1:9" x14ac:dyDescent="0.25">
      <c r="A59" s="13" t="s">
        <v>61</v>
      </c>
      <c r="B59" s="14">
        <v>2799</v>
      </c>
      <c r="C59" s="14">
        <v>3810</v>
      </c>
      <c r="D59" s="14">
        <f t="shared" si="0"/>
        <v>1011</v>
      </c>
      <c r="E59" s="15">
        <v>0.27</v>
      </c>
      <c r="F59" s="15" t="str">
        <f t="shared" si="1"/>
        <v>Medium Discount</v>
      </c>
      <c r="G59" s="16"/>
      <c r="H59" s="13"/>
      <c r="I59" s="17" t="str">
        <f t="shared" si="2"/>
        <v/>
      </c>
    </row>
    <row r="60" spans="1:9" x14ac:dyDescent="0.25">
      <c r="A60" s="18" t="s">
        <v>58</v>
      </c>
      <c r="B60" s="18">
        <v>399</v>
      </c>
      <c r="C60" s="18">
        <v>896</v>
      </c>
      <c r="D60" s="19">
        <f t="shared" si="0"/>
        <v>497</v>
      </c>
      <c r="E60" s="20">
        <v>0.55000000000000004</v>
      </c>
      <c r="F60" s="20" t="str">
        <f t="shared" si="1"/>
        <v>High Discount</v>
      </c>
      <c r="G60" s="21"/>
      <c r="H60" s="18"/>
      <c r="I60" s="22" t="str">
        <f t="shared" si="2"/>
        <v/>
      </c>
    </row>
    <row r="61" spans="1:9" x14ac:dyDescent="0.25">
      <c r="A61" s="13" t="s">
        <v>62</v>
      </c>
      <c r="B61" s="14">
        <v>2170</v>
      </c>
      <c r="C61" s="14">
        <v>2500</v>
      </c>
      <c r="D61" s="14">
        <f t="shared" si="0"/>
        <v>330</v>
      </c>
      <c r="E61" s="15">
        <v>0.13</v>
      </c>
      <c r="F61" s="15" t="str">
        <f t="shared" si="1"/>
        <v>Low Discount</v>
      </c>
      <c r="G61" s="16">
        <v>6</v>
      </c>
      <c r="H61" s="13">
        <v>2.5</v>
      </c>
      <c r="I61" s="17" t="str">
        <f t="shared" si="2"/>
        <v>Poor</v>
      </c>
    </row>
    <row r="62" spans="1:9" x14ac:dyDescent="0.25">
      <c r="A62" s="18" t="s">
        <v>63</v>
      </c>
      <c r="B62" s="18">
        <v>458</v>
      </c>
      <c r="C62" s="18">
        <v>986</v>
      </c>
      <c r="D62" s="19">
        <f t="shared" si="0"/>
        <v>528</v>
      </c>
      <c r="E62" s="20">
        <v>0.54</v>
      </c>
      <c r="F62" s="20" t="str">
        <f t="shared" si="1"/>
        <v>High Discount</v>
      </c>
      <c r="G62" s="21">
        <v>1</v>
      </c>
      <c r="H62" s="18">
        <v>3</v>
      </c>
      <c r="I62" s="22" t="str">
        <f t="shared" si="2"/>
        <v>Average</v>
      </c>
    </row>
    <row r="63" spans="1:9" x14ac:dyDescent="0.25">
      <c r="A63" s="13" t="s">
        <v>64</v>
      </c>
      <c r="B63" s="14">
        <v>2115</v>
      </c>
      <c r="C63" s="14">
        <v>4700</v>
      </c>
      <c r="D63" s="14">
        <f t="shared" si="0"/>
        <v>2585</v>
      </c>
      <c r="E63" s="15">
        <v>0.55000000000000004</v>
      </c>
      <c r="F63" s="15" t="str">
        <f t="shared" si="1"/>
        <v>High Discount</v>
      </c>
      <c r="G63" s="16">
        <v>13</v>
      </c>
      <c r="H63" s="13">
        <v>2.1</v>
      </c>
      <c r="I63" s="17" t="str">
        <f t="shared" si="2"/>
        <v>Poor</v>
      </c>
    </row>
    <row r="64" spans="1:9" x14ac:dyDescent="0.25">
      <c r="A64" s="18" t="s">
        <v>65</v>
      </c>
      <c r="B64" s="18">
        <v>445</v>
      </c>
      <c r="C64" s="18">
        <v>873</v>
      </c>
      <c r="D64" s="19">
        <f t="shared" si="0"/>
        <v>428</v>
      </c>
      <c r="E64" s="20">
        <v>0.49</v>
      </c>
      <c r="F64" s="20" t="str">
        <f t="shared" si="1"/>
        <v>High Discount</v>
      </c>
      <c r="G64" s="21">
        <v>69</v>
      </c>
      <c r="H64" s="18">
        <v>2.8</v>
      </c>
      <c r="I64" s="22" t="str">
        <f t="shared" si="2"/>
        <v>Poor</v>
      </c>
    </row>
    <row r="65" spans="1:9" x14ac:dyDescent="0.25">
      <c r="A65" s="13" t="s">
        <v>66</v>
      </c>
      <c r="B65" s="13">
        <v>325</v>
      </c>
      <c r="C65" s="13">
        <v>680</v>
      </c>
      <c r="D65" s="14">
        <f t="shared" si="0"/>
        <v>355</v>
      </c>
      <c r="E65" s="15">
        <v>0.52</v>
      </c>
      <c r="F65" s="15" t="str">
        <f t="shared" si="1"/>
        <v>High Discount</v>
      </c>
      <c r="G65" s="16">
        <v>15</v>
      </c>
      <c r="H65" s="13">
        <v>2.7</v>
      </c>
      <c r="I65" s="17" t="str">
        <f t="shared" si="2"/>
        <v>Poor</v>
      </c>
    </row>
    <row r="66" spans="1:9" x14ac:dyDescent="0.25">
      <c r="A66" s="18" t="s">
        <v>67</v>
      </c>
      <c r="B66" s="19">
        <v>1220</v>
      </c>
      <c r="C66" s="19">
        <v>1555</v>
      </c>
      <c r="D66" s="19">
        <f t="shared" si="0"/>
        <v>335</v>
      </c>
      <c r="E66" s="20">
        <v>0.22</v>
      </c>
      <c r="F66" s="20" t="str">
        <f t="shared" si="1"/>
        <v>Medium Discount</v>
      </c>
      <c r="G66" s="21">
        <v>16</v>
      </c>
      <c r="H66" s="18">
        <v>2.9</v>
      </c>
      <c r="I66" s="22" t="str">
        <f t="shared" si="2"/>
        <v>Poor</v>
      </c>
    </row>
    <row r="67" spans="1:9" x14ac:dyDescent="0.25">
      <c r="A67" s="13" t="s">
        <v>68</v>
      </c>
      <c r="B67" s="13">
        <v>990</v>
      </c>
      <c r="C67" s="14">
        <v>1814</v>
      </c>
      <c r="D67" s="14">
        <f t="shared" ref="D67:D113" si="3">C67-B67</f>
        <v>824</v>
      </c>
      <c r="E67" s="15">
        <v>0.45</v>
      </c>
      <c r="F67" s="15" t="str">
        <f t="shared" ref="F67:F113" si="4">IF(E67&lt;20%,"Low Discount",IF(E67&gt;40%,"High Discount","Medium Discount"))</f>
        <v>High Discount</v>
      </c>
      <c r="G67" s="16">
        <v>6</v>
      </c>
      <c r="H67" s="13">
        <v>2.2000000000000002</v>
      </c>
      <c r="I67" s="17" t="str">
        <f t="shared" ref="I67:I113" si="5">IF(H67="", "", IF(H67&lt;3,"Poor",IF(H67&gt;4.5,"Excellent","Average")))</f>
        <v>Poor</v>
      </c>
    </row>
    <row r="68" spans="1:9" x14ac:dyDescent="0.25">
      <c r="A68" s="18" t="s">
        <v>69</v>
      </c>
      <c r="B68" s="19">
        <v>1000</v>
      </c>
      <c r="C68" s="19">
        <v>2000</v>
      </c>
      <c r="D68" s="19">
        <f t="shared" si="3"/>
        <v>1000</v>
      </c>
      <c r="E68" s="20">
        <v>0.5</v>
      </c>
      <c r="F68" s="20" t="str">
        <f t="shared" si="4"/>
        <v>High Discount</v>
      </c>
      <c r="G68" s="21">
        <v>7</v>
      </c>
      <c r="H68" s="18">
        <v>2.2999999999999998</v>
      </c>
      <c r="I68" s="22" t="str">
        <f t="shared" si="5"/>
        <v>Poor</v>
      </c>
    </row>
    <row r="69" spans="1:9" x14ac:dyDescent="0.25">
      <c r="A69" s="13" t="s">
        <v>70</v>
      </c>
      <c r="B69" s="14">
        <v>3750</v>
      </c>
      <c r="C69" s="14">
        <v>6143</v>
      </c>
      <c r="D69" s="14">
        <f t="shared" si="3"/>
        <v>2393</v>
      </c>
      <c r="E69" s="15">
        <v>0.39</v>
      </c>
      <c r="F69" s="15" t="str">
        <f t="shared" si="4"/>
        <v>Medium Discount</v>
      </c>
      <c r="G69" s="16">
        <v>5</v>
      </c>
      <c r="H69" s="13">
        <v>3</v>
      </c>
      <c r="I69" s="17" t="str">
        <f t="shared" si="5"/>
        <v>Average</v>
      </c>
    </row>
    <row r="70" spans="1:9" x14ac:dyDescent="0.25">
      <c r="A70" s="18" t="s">
        <v>71</v>
      </c>
      <c r="B70" s="18">
        <v>382</v>
      </c>
      <c r="C70" s="18">
        <v>700</v>
      </c>
      <c r="D70" s="19">
        <f t="shared" si="3"/>
        <v>318</v>
      </c>
      <c r="E70" s="20">
        <v>0.45</v>
      </c>
      <c r="F70" s="20" t="str">
        <f t="shared" si="4"/>
        <v>High Discount</v>
      </c>
      <c r="G70" s="21">
        <v>17</v>
      </c>
      <c r="H70" s="18">
        <v>2.6</v>
      </c>
      <c r="I70" s="22" t="str">
        <f t="shared" si="5"/>
        <v>Poor</v>
      </c>
    </row>
    <row r="71" spans="1:9" x14ac:dyDescent="0.25">
      <c r="A71" s="13" t="s">
        <v>72</v>
      </c>
      <c r="B71" s="14">
        <v>2300</v>
      </c>
      <c r="C71" s="14">
        <v>3240</v>
      </c>
      <c r="D71" s="14">
        <f t="shared" si="3"/>
        <v>940</v>
      </c>
      <c r="E71" s="15">
        <v>0.28999999999999998</v>
      </c>
      <c r="F71" s="15" t="str">
        <f t="shared" si="4"/>
        <v>Medium Discount</v>
      </c>
      <c r="G71" s="16">
        <v>5</v>
      </c>
      <c r="H71" s="13">
        <v>3</v>
      </c>
      <c r="I71" s="17" t="str">
        <f t="shared" si="5"/>
        <v>Average</v>
      </c>
    </row>
    <row r="72" spans="1:9" x14ac:dyDescent="0.25">
      <c r="A72" s="18" t="s">
        <v>73</v>
      </c>
      <c r="B72" s="18">
        <v>345</v>
      </c>
      <c r="C72" s="18">
        <v>602</v>
      </c>
      <c r="D72" s="19">
        <f t="shared" si="3"/>
        <v>257</v>
      </c>
      <c r="E72" s="20">
        <v>0.43</v>
      </c>
      <c r="F72" s="20" t="str">
        <f t="shared" si="4"/>
        <v>High Discount</v>
      </c>
      <c r="G72" s="21">
        <v>6</v>
      </c>
      <c r="H72" s="18">
        <v>2.2999999999999998</v>
      </c>
      <c r="I72" s="22" t="str">
        <f t="shared" si="5"/>
        <v>Poor</v>
      </c>
    </row>
    <row r="73" spans="1:9" x14ac:dyDescent="0.25">
      <c r="A73" s="13" t="s">
        <v>74</v>
      </c>
      <c r="B73" s="13">
        <v>509</v>
      </c>
      <c r="C73" s="13">
        <v>899</v>
      </c>
      <c r="D73" s="14">
        <f t="shared" si="3"/>
        <v>390</v>
      </c>
      <c r="E73" s="15">
        <v>0.43</v>
      </c>
      <c r="F73" s="15" t="str">
        <f t="shared" si="4"/>
        <v>High Discount</v>
      </c>
      <c r="G73" s="16">
        <v>5</v>
      </c>
      <c r="H73" s="13">
        <v>3</v>
      </c>
      <c r="I73" s="17" t="str">
        <f t="shared" si="5"/>
        <v>Average</v>
      </c>
    </row>
    <row r="74" spans="1:9" x14ac:dyDescent="0.25">
      <c r="A74" s="18" t="s">
        <v>75</v>
      </c>
      <c r="B74" s="18">
        <v>968</v>
      </c>
      <c r="C74" s="19">
        <v>1814</v>
      </c>
      <c r="D74" s="19">
        <f t="shared" si="3"/>
        <v>846</v>
      </c>
      <c r="E74" s="20">
        <v>0.47</v>
      </c>
      <c r="F74" s="20" t="str">
        <f t="shared" si="4"/>
        <v>High Discount</v>
      </c>
      <c r="G74" s="21">
        <v>6</v>
      </c>
      <c r="H74" s="18">
        <v>2.2000000000000002</v>
      </c>
      <c r="I74" s="22" t="str">
        <f t="shared" si="5"/>
        <v>Poor</v>
      </c>
    </row>
    <row r="75" spans="1:9" x14ac:dyDescent="0.25">
      <c r="A75" s="13" t="s">
        <v>76</v>
      </c>
      <c r="B75" s="14">
        <v>1570</v>
      </c>
      <c r="C75" s="14">
        <v>2988</v>
      </c>
      <c r="D75" s="14">
        <f t="shared" si="3"/>
        <v>1418</v>
      </c>
      <c r="E75" s="15">
        <v>0.47</v>
      </c>
      <c r="F75" s="15" t="str">
        <f t="shared" si="4"/>
        <v>High Discount</v>
      </c>
      <c r="G75" s="16">
        <v>7</v>
      </c>
      <c r="H75" s="13">
        <v>2.1</v>
      </c>
      <c r="I75" s="17" t="str">
        <f t="shared" si="5"/>
        <v>Poor</v>
      </c>
    </row>
    <row r="76" spans="1:9" x14ac:dyDescent="0.25">
      <c r="A76" s="18" t="s">
        <v>77</v>
      </c>
      <c r="B76" s="18">
        <v>790</v>
      </c>
      <c r="C76" s="19">
        <v>1485</v>
      </c>
      <c r="D76" s="19">
        <f t="shared" si="3"/>
        <v>695</v>
      </c>
      <c r="E76" s="20">
        <v>0.47</v>
      </c>
      <c r="F76" s="20" t="str">
        <f t="shared" si="4"/>
        <v>High Discount</v>
      </c>
      <c r="G76" s="21"/>
      <c r="H76" s="18"/>
      <c r="I76" s="22" t="str">
        <f t="shared" si="5"/>
        <v/>
      </c>
    </row>
    <row r="77" spans="1:9" x14ac:dyDescent="0.25">
      <c r="A77" s="13" t="s">
        <v>78</v>
      </c>
      <c r="B77" s="13">
        <v>690</v>
      </c>
      <c r="C77" s="14">
        <v>1200</v>
      </c>
      <c r="D77" s="14">
        <f t="shared" si="3"/>
        <v>510</v>
      </c>
      <c r="E77" s="15">
        <v>0.43</v>
      </c>
      <c r="F77" s="15" t="str">
        <f t="shared" si="4"/>
        <v>High Discount</v>
      </c>
      <c r="G77" s="16"/>
      <c r="H77" s="13"/>
      <c r="I77" s="17" t="str">
        <f t="shared" si="5"/>
        <v/>
      </c>
    </row>
    <row r="78" spans="1:9" x14ac:dyDescent="0.25">
      <c r="A78" s="18" t="s">
        <v>79</v>
      </c>
      <c r="B78" s="19">
        <v>1732</v>
      </c>
      <c r="C78" s="19">
        <v>1799</v>
      </c>
      <c r="D78" s="19">
        <f t="shared" si="3"/>
        <v>67</v>
      </c>
      <c r="E78" s="20">
        <v>0.04</v>
      </c>
      <c r="F78" s="20" t="str">
        <f t="shared" si="4"/>
        <v>Low Discount</v>
      </c>
      <c r="G78" s="21"/>
      <c r="H78" s="18"/>
      <c r="I78" s="22" t="str">
        <f t="shared" si="5"/>
        <v/>
      </c>
    </row>
    <row r="79" spans="1:9" x14ac:dyDescent="0.25">
      <c r="A79" s="13" t="s">
        <v>80</v>
      </c>
      <c r="B79" s="13">
        <v>230</v>
      </c>
      <c r="C79" s="13">
        <v>450</v>
      </c>
      <c r="D79" s="14">
        <f t="shared" si="3"/>
        <v>220</v>
      </c>
      <c r="E79" s="15">
        <v>0.49</v>
      </c>
      <c r="F79" s="15" t="str">
        <f t="shared" si="4"/>
        <v>High Discount</v>
      </c>
      <c r="G79" s="16"/>
      <c r="H79" s="13"/>
      <c r="I79" s="17" t="str">
        <f t="shared" si="5"/>
        <v/>
      </c>
    </row>
    <row r="80" spans="1:9" x14ac:dyDescent="0.25">
      <c r="A80" s="18" t="s">
        <v>81</v>
      </c>
      <c r="B80" s="19">
        <v>1189</v>
      </c>
      <c r="C80" s="19">
        <v>2199</v>
      </c>
      <c r="D80" s="19">
        <f t="shared" si="3"/>
        <v>1010</v>
      </c>
      <c r="E80" s="20">
        <v>0.46</v>
      </c>
      <c r="F80" s="20" t="str">
        <f t="shared" si="4"/>
        <v>High Discount</v>
      </c>
      <c r="G80" s="21">
        <v>1</v>
      </c>
      <c r="H80" s="18">
        <v>3</v>
      </c>
      <c r="I80" s="22" t="str">
        <f t="shared" si="5"/>
        <v>Average</v>
      </c>
    </row>
    <row r="81" spans="1:9" x14ac:dyDescent="0.25">
      <c r="A81" s="13" t="s">
        <v>82</v>
      </c>
      <c r="B81" s="13">
        <v>979</v>
      </c>
      <c r="C81" s="14">
        <v>1920</v>
      </c>
      <c r="D81" s="14">
        <f t="shared" si="3"/>
        <v>941</v>
      </c>
      <c r="E81" s="15">
        <v>0.49</v>
      </c>
      <c r="F81" s="15" t="str">
        <f t="shared" si="4"/>
        <v>High Discount</v>
      </c>
      <c r="G81" s="16">
        <v>1</v>
      </c>
      <c r="H81" s="13">
        <v>5</v>
      </c>
      <c r="I81" s="17" t="str">
        <f t="shared" si="5"/>
        <v>Excellent</v>
      </c>
    </row>
    <row r="82" spans="1:9" x14ac:dyDescent="0.25">
      <c r="A82" s="18" t="s">
        <v>83</v>
      </c>
      <c r="B82" s="19">
        <v>1460</v>
      </c>
      <c r="C82" s="19">
        <v>2290</v>
      </c>
      <c r="D82" s="19">
        <f t="shared" si="3"/>
        <v>830</v>
      </c>
      <c r="E82" s="20">
        <v>0.36</v>
      </c>
      <c r="F82" s="20" t="str">
        <f t="shared" si="4"/>
        <v>Medium Discount</v>
      </c>
      <c r="G82" s="21"/>
      <c r="H82" s="18"/>
      <c r="I82" s="22" t="str">
        <f t="shared" si="5"/>
        <v/>
      </c>
    </row>
    <row r="83" spans="1:9" x14ac:dyDescent="0.25">
      <c r="A83" s="13" t="s">
        <v>84</v>
      </c>
      <c r="B83" s="14">
        <v>1666</v>
      </c>
      <c r="C83" s="14">
        <v>1699</v>
      </c>
      <c r="D83" s="14">
        <f t="shared" si="3"/>
        <v>33</v>
      </c>
      <c r="E83" s="15">
        <v>0.02</v>
      </c>
      <c r="F83" s="15" t="str">
        <f t="shared" si="4"/>
        <v>Low Discount</v>
      </c>
      <c r="G83" s="16"/>
      <c r="H83" s="13"/>
      <c r="I83" s="17" t="str">
        <f t="shared" si="5"/>
        <v/>
      </c>
    </row>
    <row r="84" spans="1:9" x14ac:dyDescent="0.25">
      <c r="A84" s="18" t="s">
        <v>85</v>
      </c>
      <c r="B84" s="18">
        <v>330</v>
      </c>
      <c r="C84" s="18">
        <v>647</v>
      </c>
      <c r="D84" s="19">
        <f t="shared" si="3"/>
        <v>317</v>
      </c>
      <c r="E84" s="20">
        <v>0.49</v>
      </c>
      <c r="F84" s="20" t="str">
        <f t="shared" si="4"/>
        <v>High Discount</v>
      </c>
      <c r="G84" s="21">
        <v>1</v>
      </c>
      <c r="H84" s="18">
        <v>4</v>
      </c>
      <c r="I84" s="22" t="str">
        <f t="shared" si="5"/>
        <v>Average</v>
      </c>
    </row>
    <row r="85" spans="1:9" x14ac:dyDescent="0.25">
      <c r="A85" s="13" t="s">
        <v>52</v>
      </c>
      <c r="B85" s="13">
        <v>176</v>
      </c>
      <c r="C85" s="13">
        <v>345</v>
      </c>
      <c r="D85" s="14">
        <f t="shared" si="3"/>
        <v>169</v>
      </c>
      <c r="E85" s="15">
        <v>0.49</v>
      </c>
      <c r="F85" s="15" t="str">
        <f t="shared" si="4"/>
        <v>High Discount</v>
      </c>
      <c r="G85" s="16"/>
      <c r="H85" s="13"/>
      <c r="I85" s="17" t="str">
        <f t="shared" si="5"/>
        <v/>
      </c>
    </row>
    <row r="86" spans="1:9" x14ac:dyDescent="0.25">
      <c r="A86" s="18" t="s">
        <v>86</v>
      </c>
      <c r="B86" s="19">
        <v>1466</v>
      </c>
      <c r="C86" s="19">
        <v>1699</v>
      </c>
      <c r="D86" s="19">
        <f t="shared" si="3"/>
        <v>233</v>
      </c>
      <c r="E86" s="20">
        <v>0.14000000000000001</v>
      </c>
      <c r="F86" s="20" t="str">
        <f t="shared" si="4"/>
        <v>Low Discount</v>
      </c>
      <c r="G86" s="21"/>
      <c r="H86" s="18"/>
      <c r="I86" s="22" t="str">
        <f t="shared" si="5"/>
        <v/>
      </c>
    </row>
    <row r="87" spans="1:9" x14ac:dyDescent="0.25">
      <c r="A87" s="13" t="s">
        <v>87</v>
      </c>
      <c r="B87" s="13">
        <v>274</v>
      </c>
      <c r="C87" s="13">
        <v>537</v>
      </c>
      <c r="D87" s="14">
        <f t="shared" si="3"/>
        <v>263</v>
      </c>
      <c r="E87" s="15">
        <v>0.49</v>
      </c>
      <c r="F87" s="15" t="str">
        <f t="shared" si="4"/>
        <v>High Discount</v>
      </c>
      <c r="G87" s="16"/>
      <c r="H87" s="13"/>
      <c r="I87" s="17" t="str">
        <f t="shared" si="5"/>
        <v/>
      </c>
    </row>
    <row r="88" spans="1:9" x14ac:dyDescent="0.25">
      <c r="A88" s="18" t="s">
        <v>88</v>
      </c>
      <c r="B88" s="18">
        <v>799</v>
      </c>
      <c r="C88" s="18">
        <v>900</v>
      </c>
      <c r="D88" s="19">
        <f t="shared" si="3"/>
        <v>101</v>
      </c>
      <c r="E88" s="20">
        <v>0.11</v>
      </c>
      <c r="F88" s="20" t="str">
        <f t="shared" si="4"/>
        <v>Low Discount</v>
      </c>
      <c r="G88" s="21"/>
      <c r="H88" s="18"/>
      <c r="I88" s="22" t="str">
        <f t="shared" si="5"/>
        <v/>
      </c>
    </row>
    <row r="89" spans="1:9" x14ac:dyDescent="0.25">
      <c r="A89" s="13" t="s">
        <v>60</v>
      </c>
      <c r="B89" s="13">
        <v>657</v>
      </c>
      <c r="C89" s="14">
        <v>1288</v>
      </c>
      <c r="D89" s="14">
        <f t="shared" si="3"/>
        <v>631</v>
      </c>
      <c r="E89" s="15">
        <v>0.49</v>
      </c>
      <c r="F89" s="15" t="str">
        <f t="shared" si="4"/>
        <v>High Discount</v>
      </c>
      <c r="G89" s="16"/>
      <c r="H89" s="13"/>
      <c r="I89" s="17" t="str">
        <f t="shared" si="5"/>
        <v/>
      </c>
    </row>
    <row r="90" spans="1:9" x14ac:dyDescent="0.25">
      <c r="A90" s="18" t="s">
        <v>89</v>
      </c>
      <c r="B90" s="19">
        <v>1468</v>
      </c>
      <c r="C90" s="19">
        <v>1699</v>
      </c>
      <c r="D90" s="19">
        <f t="shared" si="3"/>
        <v>231</v>
      </c>
      <c r="E90" s="20">
        <v>0.14000000000000001</v>
      </c>
      <c r="F90" s="20" t="str">
        <f t="shared" si="4"/>
        <v>Low Discount</v>
      </c>
      <c r="G90" s="21"/>
      <c r="H90" s="18"/>
      <c r="I90" s="22" t="str">
        <f t="shared" si="5"/>
        <v/>
      </c>
    </row>
    <row r="91" spans="1:9" x14ac:dyDescent="0.25">
      <c r="A91" s="13" t="s">
        <v>90</v>
      </c>
      <c r="B91" s="13">
        <v>630</v>
      </c>
      <c r="C91" s="14">
        <v>1100</v>
      </c>
      <c r="D91" s="14">
        <f t="shared" si="3"/>
        <v>470</v>
      </c>
      <c r="E91" s="15">
        <v>0.43</v>
      </c>
      <c r="F91" s="15" t="str">
        <f t="shared" si="4"/>
        <v>High Discount</v>
      </c>
      <c r="G91" s="16"/>
      <c r="H91" s="13"/>
      <c r="I91" s="17" t="str">
        <f t="shared" si="5"/>
        <v/>
      </c>
    </row>
    <row r="92" spans="1:9" x14ac:dyDescent="0.25">
      <c r="A92" s="18" t="s">
        <v>91</v>
      </c>
      <c r="B92" s="18">
        <v>850</v>
      </c>
      <c r="C92" s="19">
        <v>1700</v>
      </c>
      <c r="D92" s="19">
        <f t="shared" si="3"/>
        <v>850</v>
      </c>
      <c r="E92" s="20">
        <v>0.5</v>
      </c>
      <c r="F92" s="20" t="str">
        <f t="shared" si="4"/>
        <v>High Discount</v>
      </c>
      <c r="G92" s="21"/>
      <c r="H92" s="18"/>
      <c r="I92" s="22" t="str">
        <f t="shared" si="5"/>
        <v/>
      </c>
    </row>
    <row r="93" spans="1:9" x14ac:dyDescent="0.25">
      <c r="A93" s="13" t="s">
        <v>92</v>
      </c>
      <c r="B93" s="14">
        <v>1300</v>
      </c>
      <c r="C93" s="14">
        <v>2500</v>
      </c>
      <c r="D93" s="14">
        <f t="shared" si="3"/>
        <v>1200</v>
      </c>
      <c r="E93" s="15">
        <v>0.48</v>
      </c>
      <c r="F93" s="15" t="str">
        <f t="shared" si="4"/>
        <v>High Discount</v>
      </c>
      <c r="G93" s="16"/>
      <c r="H93" s="13"/>
      <c r="I93" s="17" t="str">
        <f t="shared" si="5"/>
        <v/>
      </c>
    </row>
    <row r="94" spans="1:9" x14ac:dyDescent="0.25">
      <c r="A94" s="18" t="s">
        <v>93</v>
      </c>
      <c r="B94" s="18">
        <v>105</v>
      </c>
      <c r="C94" s="18">
        <v>200</v>
      </c>
      <c r="D94" s="19">
        <f t="shared" si="3"/>
        <v>95</v>
      </c>
      <c r="E94" s="20">
        <v>0.48</v>
      </c>
      <c r="F94" s="20" t="str">
        <f t="shared" si="4"/>
        <v>High Discount</v>
      </c>
      <c r="G94" s="21"/>
      <c r="H94" s="18"/>
      <c r="I94" s="22" t="str">
        <f t="shared" si="5"/>
        <v/>
      </c>
    </row>
    <row r="95" spans="1:9" x14ac:dyDescent="0.25">
      <c r="A95" s="13" t="s">
        <v>94</v>
      </c>
      <c r="B95" s="13">
        <v>899</v>
      </c>
      <c r="C95" s="14">
        <v>1699</v>
      </c>
      <c r="D95" s="14">
        <f t="shared" si="3"/>
        <v>800</v>
      </c>
      <c r="E95" s="15">
        <v>0.47</v>
      </c>
      <c r="F95" s="15" t="str">
        <f t="shared" si="4"/>
        <v>High Discount</v>
      </c>
      <c r="G95" s="16"/>
      <c r="H95" s="13"/>
      <c r="I95" s="17" t="str">
        <f t="shared" si="5"/>
        <v/>
      </c>
    </row>
    <row r="96" spans="1:9" x14ac:dyDescent="0.25">
      <c r="A96" s="18" t="s">
        <v>95</v>
      </c>
      <c r="B96" s="19">
        <v>1200</v>
      </c>
      <c r="C96" s="19">
        <v>2400</v>
      </c>
      <c r="D96" s="19">
        <f t="shared" si="3"/>
        <v>1200</v>
      </c>
      <c r="E96" s="20">
        <v>0.5</v>
      </c>
      <c r="F96" s="20" t="str">
        <f t="shared" si="4"/>
        <v>High Discount</v>
      </c>
      <c r="G96" s="21"/>
      <c r="H96" s="18"/>
      <c r="I96" s="22" t="str">
        <f t="shared" si="5"/>
        <v/>
      </c>
    </row>
    <row r="97" spans="1:9" x14ac:dyDescent="0.25">
      <c r="A97" s="13" t="s">
        <v>96</v>
      </c>
      <c r="B97" s="14">
        <v>1526</v>
      </c>
      <c r="C97" s="14">
        <v>1660</v>
      </c>
      <c r="D97" s="14">
        <f t="shared" si="3"/>
        <v>134</v>
      </c>
      <c r="E97" s="15">
        <v>0.08</v>
      </c>
      <c r="F97" s="15" t="str">
        <f t="shared" si="4"/>
        <v>Low Discount</v>
      </c>
      <c r="G97" s="16"/>
      <c r="H97" s="13"/>
      <c r="I97" s="17" t="str">
        <f t="shared" si="5"/>
        <v/>
      </c>
    </row>
    <row r="98" spans="1:9" x14ac:dyDescent="0.25">
      <c r="A98" s="18" t="s">
        <v>97</v>
      </c>
      <c r="B98" s="19">
        <v>1462</v>
      </c>
      <c r="C98" s="19">
        <v>1499</v>
      </c>
      <c r="D98" s="19">
        <f t="shared" si="3"/>
        <v>37</v>
      </c>
      <c r="E98" s="20">
        <v>0.02</v>
      </c>
      <c r="F98" s="20" t="str">
        <f t="shared" si="4"/>
        <v>Low Discount</v>
      </c>
      <c r="G98" s="21"/>
      <c r="H98" s="18"/>
      <c r="I98" s="22" t="str">
        <f t="shared" si="5"/>
        <v/>
      </c>
    </row>
    <row r="99" spans="1:9" x14ac:dyDescent="0.25">
      <c r="A99" s="13" t="s">
        <v>98</v>
      </c>
      <c r="B99" s="13">
        <v>248</v>
      </c>
      <c r="C99" s="13">
        <v>486</v>
      </c>
      <c r="D99" s="14">
        <f t="shared" si="3"/>
        <v>238</v>
      </c>
      <c r="E99" s="15">
        <v>0.49</v>
      </c>
      <c r="F99" s="15" t="str">
        <f t="shared" si="4"/>
        <v>High Discount</v>
      </c>
      <c r="G99" s="16"/>
      <c r="H99" s="13"/>
      <c r="I99" s="17" t="str">
        <f t="shared" si="5"/>
        <v/>
      </c>
    </row>
    <row r="100" spans="1:9" x14ac:dyDescent="0.25">
      <c r="A100" s="18" t="s">
        <v>99</v>
      </c>
      <c r="B100" s="19">
        <v>3546</v>
      </c>
      <c r="C100" s="19">
        <v>3699</v>
      </c>
      <c r="D100" s="19">
        <f t="shared" si="3"/>
        <v>153</v>
      </c>
      <c r="E100" s="20">
        <v>0.04</v>
      </c>
      <c r="F100" s="20" t="str">
        <f t="shared" si="4"/>
        <v>Low Discount</v>
      </c>
      <c r="G100" s="21"/>
      <c r="H100" s="18"/>
      <c r="I100" s="22" t="str">
        <f t="shared" si="5"/>
        <v/>
      </c>
    </row>
    <row r="101" spans="1:9" x14ac:dyDescent="0.25">
      <c r="A101" s="13" t="s">
        <v>100</v>
      </c>
      <c r="B101" s="13">
        <v>525</v>
      </c>
      <c r="C101" s="14">
        <v>1029</v>
      </c>
      <c r="D101" s="14">
        <f t="shared" si="3"/>
        <v>504</v>
      </c>
      <c r="E101" s="15">
        <v>0.49</v>
      </c>
      <c r="F101" s="15" t="str">
        <f t="shared" si="4"/>
        <v>High Discount</v>
      </c>
      <c r="G101" s="16"/>
      <c r="H101" s="13"/>
      <c r="I101" s="17" t="str">
        <f t="shared" si="5"/>
        <v/>
      </c>
    </row>
    <row r="102" spans="1:9" x14ac:dyDescent="0.25">
      <c r="A102" s="18" t="s">
        <v>101</v>
      </c>
      <c r="B102" s="19">
        <v>1080</v>
      </c>
      <c r="C102" s="19">
        <v>1874</v>
      </c>
      <c r="D102" s="19">
        <f t="shared" si="3"/>
        <v>794</v>
      </c>
      <c r="E102" s="20">
        <v>0.42</v>
      </c>
      <c r="F102" s="20" t="str">
        <f t="shared" si="4"/>
        <v>High Discount</v>
      </c>
      <c r="G102" s="21"/>
      <c r="H102" s="18"/>
      <c r="I102" s="22" t="str">
        <f t="shared" si="5"/>
        <v/>
      </c>
    </row>
    <row r="103" spans="1:9" x14ac:dyDescent="0.25">
      <c r="A103" s="13" t="s">
        <v>102</v>
      </c>
      <c r="B103" s="14">
        <v>3640</v>
      </c>
      <c r="C103" s="14">
        <v>4588</v>
      </c>
      <c r="D103" s="14">
        <f t="shared" si="3"/>
        <v>948</v>
      </c>
      <c r="E103" s="15">
        <v>0.21</v>
      </c>
      <c r="F103" s="15" t="str">
        <f t="shared" si="4"/>
        <v>Medium Discount</v>
      </c>
      <c r="G103" s="16">
        <v>1</v>
      </c>
      <c r="H103" s="13">
        <v>5</v>
      </c>
      <c r="I103" s="17" t="str">
        <f t="shared" si="5"/>
        <v>Excellent</v>
      </c>
    </row>
    <row r="104" spans="1:9" x14ac:dyDescent="0.25">
      <c r="A104" s="18" t="s">
        <v>103</v>
      </c>
      <c r="B104" s="19">
        <v>1420</v>
      </c>
      <c r="C104" s="19">
        <v>2420</v>
      </c>
      <c r="D104" s="19">
        <f t="shared" si="3"/>
        <v>1000</v>
      </c>
      <c r="E104" s="20">
        <v>0.41</v>
      </c>
      <c r="F104" s="20" t="str">
        <f t="shared" si="4"/>
        <v>High Discount</v>
      </c>
      <c r="G104" s="21"/>
      <c r="H104" s="18"/>
      <c r="I104" s="22" t="str">
        <f t="shared" si="5"/>
        <v/>
      </c>
    </row>
    <row r="105" spans="1:9" x14ac:dyDescent="0.25">
      <c r="A105" s="13" t="s">
        <v>104</v>
      </c>
      <c r="B105" s="14">
        <v>1875</v>
      </c>
      <c r="C105" s="14">
        <v>1899</v>
      </c>
      <c r="D105" s="14">
        <f t="shared" si="3"/>
        <v>24</v>
      </c>
      <c r="E105" s="15">
        <v>0.01</v>
      </c>
      <c r="F105" s="15" t="str">
        <f t="shared" si="4"/>
        <v>Low Discount</v>
      </c>
      <c r="G105" s="16"/>
      <c r="H105" s="13"/>
      <c r="I105" s="17" t="str">
        <f t="shared" si="5"/>
        <v/>
      </c>
    </row>
    <row r="106" spans="1:9" x14ac:dyDescent="0.25">
      <c r="A106" s="18" t="s">
        <v>105</v>
      </c>
      <c r="B106" s="18">
        <v>198</v>
      </c>
      <c r="C106" s="18">
        <v>260</v>
      </c>
      <c r="D106" s="19">
        <f t="shared" si="3"/>
        <v>62</v>
      </c>
      <c r="E106" s="20">
        <v>0.24</v>
      </c>
      <c r="F106" s="20" t="str">
        <f t="shared" si="4"/>
        <v>Medium Discount</v>
      </c>
      <c r="G106" s="21"/>
      <c r="H106" s="18"/>
      <c r="I106" s="22" t="str">
        <f t="shared" si="5"/>
        <v/>
      </c>
    </row>
    <row r="107" spans="1:9" x14ac:dyDescent="0.25">
      <c r="A107" s="13" t="s">
        <v>106</v>
      </c>
      <c r="B107" s="14">
        <v>1150</v>
      </c>
      <c r="C107" s="14">
        <v>1737</v>
      </c>
      <c r="D107" s="14">
        <f t="shared" si="3"/>
        <v>587</v>
      </c>
      <c r="E107" s="15">
        <v>0.34</v>
      </c>
      <c r="F107" s="15" t="str">
        <f t="shared" si="4"/>
        <v>Medium Discount</v>
      </c>
      <c r="G107" s="16"/>
      <c r="H107" s="13"/>
      <c r="I107" s="17" t="str">
        <f t="shared" si="5"/>
        <v/>
      </c>
    </row>
    <row r="108" spans="1:9" x14ac:dyDescent="0.25">
      <c r="A108" s="18" t="s">
        <v>107</v>
      </c>
      <c r="B108" s="19">
        <v>1190</v>
      </c>
      <c r="C108" s="19">
        <v>1810</v>
      </c>
      <c r="D108" s="19">
        <f t="shared" si="3"/>
        <v>620</v>
      </c>
      <c r="E108" s="20">
        <v>0.34</v>
      </c>
      <c r="F108" s="20" t="str">
        <f t="shared" si="4"/>
        <v>Medium Discount</v>
      </c>
      <c r="G108" s="21"/>
      <c r="H108" s="18"/>
      <c r="I108" s="22" t="str">
        <f t="shared" si="5"/>
        <v/>
      </c>
    </row>
    <row r="109" spans="1:9" x14ac:dyDescent="0.25">
      <c r="A109" s="13" t="s">
        <v>108</v>
      </c>
      <c r="B109" s="14">
        <v>1658</v>
      </c>
      <c r="C109" s="14">
        <v>1699</v>
      </c>
      <c r="D109" s="14">
        <f t="shared" si="3"/>
        <v>41</v>
      </c>
      <c r="E109" s="15">
        <v>0.02</v>
      </c>
      <c r="F109" s="15" t="str">
        <f t="shared" si="4"/>
        <v>Low Discount</v>
      </c>
      <c r="G109" s="16"/>
      <c r="H109" s="13"/>
      <c r="I109" s="17" t="str">
        <f t="shared" si="5"/>
        <v/>
      </c>
    </row>
    <row r="110" spans="1:9" x14ac:dyDescent="0.25">
      <c r="A110" s="18" t="s">
        <v>109</v>
      </c>
      <c r="B110" s="19">
        <v>1768</v>
      </c>
      <c r="C110" s="19">
        <v>1799</v>
      </c>
      <c r="D110" s="19">
        <f t="shared" si="3"/>
        <v>31</v>
      </c>
      <c r="E110" s="20">
        <v>0.02</v>
      </c>
      <c r="F110" s="20" t="str">
        <f t="shared" si="4"/>
        <v>Low Discount</v>
      </c>
      <c r="G110" s="21"/>
      <c r="H110" s="18"/>
      <c r="I110" s="22" t="str">
        <f t="shared" si="5"/>
        <v/>
      </c>
    </row>
    <row r="111" spans="1:9" x14ac:dyDescent="0.25">
      <c r="A111" s="13" t="s">
        <v>110</v>
      </c>
      <c r="B111" s="13">
        <v>199</v>
      </c>
      <c r="C111" s="13">
        <v>553</v>
      </c>
      <c r="D111" s="14">
        <f t="shared" si="3"/>
        <v>354</v>
      </c>
      <c r="E111" s="15">
        <v>0.64</v>
      </c>
      <c r="F111" s="15" t="str">
        <f t="shared" si="4"/>
        <v>High Discount</v>
      </c>
      <c r="G111" s="16"/>
      <c r="H111" s="13"/>
      <c r="I111" s="17" t="str">
        <f t="shared" si="5"/>
        <v/>
      </c>
    </row>
    <row r="112" spans="1:9" x14ac:dyDescent="0.25">
      <c r="A112" s="18" t="s">
        <v>111</v>
      </c>
      <c r="B112" s="18">
        <v>450</v>
      </c>
      <c r="C112" s="18">
        <v>900</v>
      </c>
      <c r="D112" s="19">
        <f t="shared" si="3"/>
        <v>450</v>
      </c>
      <c r="E112" s="20">
        <v>0.5</v>
      </c>
      <c r="F112" s="20" t="str">
        <f t="shared" si="4"/>
        <v>High Discount</v>
      </c>
      <c r="G112" s="21">
        <v>1</v>
      </c>
      <c r="H112" s="18">
        <v>2</v>
      </c>
      <c r="I112" s="22" t="str">
        <f t="shared" si="5"/>
        <v>Poor</v>
      </c>
    </row>
    <row r="113" spans="1:9" x14ac:dyDescent="0.25">
      <c r="A113" s="23" t="s">
        <v>112</v>
      </c>
      <c r="B113" s="23">
        <v>169</v>
      </c>
      <c r="C113" s="23">
        <v>320</v>
      </c>
      <c r="D113" s="24">
        <f t="shared" si="3"/>
        <v>151</v>
      </c>
      <c r="E113" s="25">
        <v>0.47</v>
      </c>
      <c r="F113" s="25" t="str">
        <f t="shared" si="4"/>
        <v>High Discount</v>
      </c>
      <c r="G113" s="26"/>
      <c r="H113" s="23"/>
      <c r="I113" s="5" t="str">
        <f t="shared" si="5"/>
        <v/>
      </c>
    </row>
    <row r="115" spans="1:9" x14ac:dyDescent="0.25">
      <c r="E115" s="1">
        <f>AVERAGE(E2:E113)</f>
        <v>0.36776785714285715</v>
      </c>
      <c r="G115" s="4">
        <f>SUM(G2:G113)</f>
        <v>678</v>
      </c>
      <c r="H115">
        <f>AVERAGE(H2:H113)</f>
        <v>3.8894736842105258</v>
      </c>
    </row>
  </sheetData>
  <conditionalFormatting sqref="E1:E1048576">
    <cfRule type="top10" dxfId="0" priority="1" rank="10"/>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38005-A55A-4307-AD1A-E2548F134211}">
  <dimension ref="A1"/>
  <sheetViews>
    <sheetView topLeftCell="G1" zoomScale="70" zoomScaleNormal="70" workbookViewId="0">
      <selection activeCell="AI16" sqref="AI16"/>
    </sheetView>
  </sheetViews>
  <sheetFormatPr defaultRowHeight="15" x14ac:dyDescent="0.25"/>
  <cols>
    <col min="1" max="16384" width="9.140625" style="3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665F-0275-484E-9B5E-1EF66CBBB8D0}">
  <dimension ref="A3:DI116"/>
  <sheetViews>
    <sheetView workbookViewId="0">
      <selection activeCell="A3" sqref="A3"/>
    </sheetView>
  </sheetViews>
  <sheetFormatPr defaultRowHeight="15" x14ac:dyDescent="0.25"/>
  <cols>
    <col min="1" max="1" width="95.7109375" bestFit="1" customWidth="1"/>
    <col min="2" max="2" width="16.28515625" bestFit="1" customWidth="1"/>
    <col min="3" max="5" width="2" bestFit="1" customWidth="1"/>
    <col min="6" max="6" width="18.28515625" bestFit="1" customWidth="1"/>
    <col min="7" max="7" width="18.7109375" bestFit="1" customWidth="1"/>
    <col min="8" max="8" width="22" bestFit="1" customWidth="1"/>
    <col min="9" max="9" width="6.85546875" bestFit="1" customWidth="1"/>
    <col min="10" max="10" width="15.140625" bestFit="1" customWidth="1"/>
    <col min="11" max="11" width="18.28515625" bestFit="1" customWidth="1"/>
    <col min="12" max="12" width="18.7109375" bestFit="1" customWidth="1"/>
    <col min="13" max="15" width="4" bestFit="1" customWidth="1"/>
    <col min="16" max="16" width="22" bestFit="1" customWidth="1"/>
    <col min="17" max="17" width="6.85546875" bestFit="1" customWidth="1"/>
    <col min="18" max="18" width="15.140625" bestFit="1" customWidth="1"/>
    <col min="19" max="19" width="18.28515625" bestFit="1" customWidth="1"/>
    <col min="20" max="20" width="6.85546875" bestFit="1" customWidth="1"/>
    <col min="21" max="21" width="15.140625" bestFit="1" customWidth="1"/>
    <col min="22" max="23" width="4" bestFit="1" customWidth="1"/>
    <col min="24" max="24" width="18.28515625" bestFit="1" customWidth="1"/>
    <col min="25" max="25" width="14.5703125" bestFit="1" customWidth="1"/>
    <col min="26" max="26" width="17.85546875" bestFit="1" customWidth="1"/>
    <col min="27" max="27" width="18.7109375" bestFit="1" customWidth="1"/>
    <col min="28" max="28" width="4" bestFit="1" customWidth="1"/>
    <col min="29" max="29" width="22" bestFit="1" customWidth="1"/>
    <col min="30" max="30" width="6.85546875" bestFit="1" customWidth="1"/>
    <col min="31" max="31" width="15.140625" bestFit="1" customWidth="1"/>
    <col min="32" max="33" width="4" bestFit="1" customWidth="1"/>
    <col min="34" max="34" width="18.28515625" bestFit="1" customWidth="1"/>
    <col min="35" max="35" width="14.5703125" bestFit="1" customWidth="1"/>
    <col min="36" max="36" width="17.85546875" bestFit="1" customWidth="1"/>
    <col min="37" max="37" width="18.7109375" bestFit="1" customWidth="1"/>
    <col min="38" max="38" width="22" bestFit="1" customWidth="1"/>
    <col min="39" max="39" width="6.85546875" bestFit="1" customWidth="1"/>
    <col min="40" max="40" width="15.140625" bestFit="1" customWidth="1"/>
    <col min="41" max="42" width="4" bestFit="1" customWidth="1"/>
    <col min="43" max="43" width="18.28515625" bestFit="1" customWidth="1"/>
    <col min="44" max="44" width="18.7109375" bestFit="1" customWidth="1"/>
    <col min="45" max="45" width="22" bestFit="1" customWidth="1"/>
    <col min="46" max="46" width="6.85546875" bestFit="1" customWidth="1"/>
    <col min="47" max="47" width="15.140625" bestFit="1" customWidth="1"/>
    <col min="48" max="48" width="18.28515625" bestFit="1" customWidth="1"/>
    <col min="49" max="49" width="18.7109375" bestFit="1" customWidth="1"/>
    <col min="50" max="50" width="22" bestFit="1" customWidth="1"/>
    <col min="51" max="51" width="6.85546875" bestFit="1" customWidth="1"/>
    <col min="52" max="52" width="15.140625" bestFit="1" customWidth="1"/>
    <col min="53" max="53" width="18.28515625" bestFit="1" customWidth="1"/>
    <col min="54" max="54" width="14.5703125" bestFit="1" customWidth="1"/>
    <col min="55" max="55" width="17.85546875" bestFit="1" customWidth="1"/>
    <col min="56" max="56" width="18.7109375" bestFit="1" customWidth="1"/>
    <col min="57" max="57" width="4" bestFit="1" customWidth="1"/>
    <col min="58" max="58" width="22" bestFit="1" customWidth="1"/>
    <col min="59" max="59" width="7.85546875" bestFit="1" customWidth="1"/>
    <col min="60" max="60" width="15.140625" bestFit="1" customWidth="1"/>
    <col min="61" max="61" width="4" bestFit="1" customWidth="1"/>
    <col min="62" max="62" width="18.28515625" bestFit="1" customWidth="1"/>
    <col min="63" max="63" width="18.7109375" bestFit="1" customWidth="1"/>
    <col min="64" max="64" width="22" bestFit="1" customWidth="1"/>
    <col min="65" max="65" width="7.85546875" bestFit="1" customWidth="1"/>
    <col min="66" max="66" width="15.140625" bestFit="1" customWidth="1"/>
    <col min="67" max="67" width="18.28515625" bestFit="1" customWidth="1"/>
    <col min="68" max="68" width="18.7109375" bestFit="1" customWidth="1"/>
    <col min="69" max="69" width="22" bestFit="1" customWidth="1"/>
    <col min="70" max="70" width="7.85546875" bestFit="1" customWidth="1"/>
    <col min="71" max="71" width="15.140625" bestFit="1" customWidth="1"/>
    <col min="72" max="72" width="18.28515625" bestFit="1" customWidth="1"/>
    <col min="73" max="73" width="14.5703125" bestFit="1" customWidth="1"/>
    <col min="74" max="74" width="17.85546875" bestFit="1" customWidth="1"/>
    <col min="75" max="75" width="7.85546875" bestFit="1" customWidth="1"/>
    <col min="76" max="76" width="18.7109375" bestFit="1" customWidth="1"/>
    <col min="77" max="77" width="22" bestFit="1" customWidth="1"/>
    <col min="78" max="78" width="7.85546875" bestFit="1" customWidth="1"/>
    <col min="79" max="79" width="15.140625" bestFit="1" customWidth="1"/>
    <col min="80" max="80" width="18.28515625" bestFit="1" customWidth="1"/>
    <col min="81" max="81" width="7.85546875" bestFit="1" customWidth="1"/>
    <col min="82" max="82" width="18.7109375" bestFit="1" customWidth="1"/>
    <col min="83" max="83" width="22" bestFit="1" customWidth="1"/>
    <col min="84" max="84" width="7.85546875" bestFit="1" customWidth="1"/>
    <col min="85" max="85" width="18.7109375" bestFit="1" customWidth="1"/>
    <col min="86" max="86" width="22" bestFit="1" customWidth="1"/>
    <col min="87" max="87" width="7.85546875" bestFit="1" customWidth="1"/>
    <col min="88" max="88" width="15.140625" bestFit="1" customWidth="1"/>
    <col min="89" max="89" width="18.28515625" bestFit="1" customWidth="1"/>
    <col min="90" max="90" width="7.85546875" bestFit="1" customWidth="1"/>
    <col min="91" max="91" width="18.7109375" bestFit="1" customWidth="1"/>
    <col min="92" max="92" width="22" bestFit="1" customWidth="1"/>
    <col min="93" max="93" width="7.85546875" bestFit="1" customWidth="1"/>
    <col min="94" max="94" width="15.140625" bestFit="1" customWidth="1"/>
    <col min="95" max="95" width="18.28515625" bestFit="1" customWidth="1"/>
    <col min="96" max="96" width="7.85546875" bestFit="1" customWidth="1"/>
    <col min="97" max="97" width="18.7109375" bestFit="1" customWidth="1"/>
    <col min="98" max="98" width="22" bestFit="1" customWidth="1"/>
    <col min="99" max="99" width="7.85546875" bestFit="1" customWidth="1"/>
    <col min="100" max="100" width="18.7109375" bestFit="1" customWidth="1"/>
    <col min="101" max="101" width="22" bestFit="1" customWidth="1"/>
    <col min="102" max="102" width="7.85546875" bestFit="1" customWidth="1"/>
    <col min="103" max="103" width="15.140625" bestFit="1" customWidth="1"/>
    <col min="104" max="104" width="18.28515625" bestFit="1" customWidth="1"/>
    <col min="105" max="105" width="7.85546875" bestFit="1" customWidth="1"/>
    <col min="106" max="106" width="15.140625" bestFit="1" customWidth="1"/>
    <col min="107" max="107" width="18.28515625" bestFit="1" customWidth="1"/>
    <col min="108" max="108" width="14.5703125" bestFit="1" customWidth="1"/>
    <col min="109" max="109" width="17.85546875" bestFit="1" customWidth="1"/>
    <col min="110" max="110" width="18.7109375" bestFit="1" customWidth="1"/>
    <col min="111" max="111" width="22" bestFit="1" customWidth="1"/>
    <col min="112" max="112" width="12.140625" bestFit="1" customWidth="1"/>
    <col min="113" max="113" width="11.28515625" bestFit="1" customWidth="1"/>
  </cols>
  <sheetData>
    <row r="3" spans="1:113" x14ac:dyDescent="0.25">
      <c r="B3" s="31" t="s">
        <v>351</v>
      </c>
    </row>
    <row r="4" spans="1:113" x14ac:dyDescent="0.25">
      <c r="B4">
        <v>1</v>
      </c>
      <c r="I4" t="s">
        <v>352</v>
      </c>
      <c r="J4">
        <v>2</v>
      </c>
      <c r="Q4" t="s">
        <v>353</v>
      </c>
      <c r="R4">
        <v>3</v>
      </c>
      <c r="T4" t="s">
        <v>354</v>
      </c>
      <c r="U4">
        <v>5</v>
      </c>
      <c r="AD4" t="s">
        <v>355</v>
      </c>
      <c r="AE4">
        <v>6</v>
      </c>
      <c r="AM4" t="s">
        <v>356</v>
      </c>
      <c r="AN4">
        <v>7</v>
      </c>
      <c r="AT4" t="s">
        <v>357</v>
      </c>
      <c r="AU4">
        <v>9</v>
      </c>
      <c r="AY4" t="s">
        <v>358</v>
      </c>
      <c r="AZ4">
        <v>12</v>
      </c>
      <c r="BG4" t="s">
        <v>359</v>
      </c>
      <c r="BH4">
        <v>13</v>
      </c>
      <c r="BM4" t="s">
        <v>360</v>
      </c>
      <c r="BN4">
        <v>14</v>
      </c>
      <c r="BR4" t="s">
        <v>361</v>
      </c>
      <c r="BS4">
        <v>15</v>
      </c>
      <c r="BW4" t="s">
        <v>362</v>
      </c>
      <c r="BX4">
        <v>16</v>
      </c>
      <c r="BZ4" t="s">
        <v>363</v>
      </c>
      <c r="CA4">
        <v>17</v>
      </c>
      <c r="CC4" t="s">
        <v>364</v>
      </c>
      <c r="CD4">
        <v>24</v>
      </c>
      <c r="CF4" t="s">
        <v>365</v>
      </c>
      <c r="CG4">
        <v>32</v>
      </c>
      <c r="CI4" t="s">
        <v>366</v>
      </c>
      <c r="CJ4">
        <v>36</v>
      </c>
      <c r="CL4" t="s">
        <v>367</v>
      </c>
      <c r="CM4">
        <v>39</v>
      </c>
      <c r="CO4" t="s">
        <v>368</v>
      </c>
      <c r="CP4">
        <v>44</v>
      </c>
      <c r="CR4" t="s">
        <v>369</v>
      </c>
      <c r="CS4">
        <v>49</v>
      </c>
      <c r="CU4" t="s">
        <v>370</v>
      </c>
      <c r="CV4">
        <v>55</v>
      </c>
      <c r="CX4" t="s">
        <v>371</v>
      </c>
      <c r="CY4">
        <v>69</v>
      </c>
      <c r="DA4" t="s">
        <v>372</v>
      </c>
      <c r="DB4" t="s">
        <v>348</v>
      </c>
      <c r="DH4" t="s">
        <v>373</v>
      </c>
      <c r="DI4" t="s">
        <v>345</v>
      </c>
    </row>
    <row r="5" spans="1:113" x14ac:dyDescent="0.25">
      <c r="B5" t="s">
        <v>374</v>
      </c>
      <c r="F5" t="s">
        <v>375</v>
      </c>
      <c r="G5" t="s">
        <v>376</v>
      </c>
      <c r="H5" t="s">
        <v>377</v>
      </c>
      <c r="J5" t="s">
        <v>374</v>
      </c>
      <c r="K5" t="s">
        <v>375</v>
      </c>
      <c r="L5" t="s">
        <v>376</v>
      </c>
      <c r="P5" t="s">
        <v>377</v>
      </c>
      <c r="R5" t="s">
        <v>374</v>
      </c>
      <c r="S5" t="s">
        <v>375</v>
      </c>
      <c r="U5" t="s">
        <v>374</v>
      </c>
      <c r="X5" t="s">
        <v>375</v>
      </c>
      <c r="Y5" t="s">
        <v>378</v>
      </c>
      <c r="Z5" t="s">
        <v>379</v>
      </c>
      <c r="AA5" t="s">
        <v>376</v>
      </c>
      <c r="AC5" t="s">
        <v>377</v>
      </c>
      <c r="AE5" t="s">
        <v>374</v>
      </c>
      <c r="AH5" t="s">
        <v>375</v>
      </c>
      <c r="AI5" t="s">
        <v>378</v>
      </c>
      <c r="AJ5" t="s">
        <v>379</v>
      </c>
      <c r="AK5" t="s">
        <v>376</v>
      </c>
      <c r="AL5" t="s">
        <v>377</v>
      </c>
      <c r="AN5" t="s">
        <v>374</v>
      </c>
      <c r="AQ5" t="s">
        <v>375</v>
      </c>
      <c r="AR5" t="s">
        <v>376</v>
      </c>
      <c r="AS5" t="s">
        <v>377</v>
      </c>
      <c r="AU5" t="s">
        <v>374</v>
      </c>
      <c r="AV5" t="s">
        <v>375</v>
      </c>
      <c r="AW5" t="s">
        <v>376</v>
      </c>
      <c r="AX5" t="s">
        <v>377</v>
      </c>
      <c r="AZ5" t="s">
        <v>374</v>
      </c>
      <c r="BA5" t="s">
        <v>375</v>
      </c>
      <c r="BB5" t="s">
        <v>378</v>
      </c>
      <c r="BC5" t="s">
        <v>379</v>
      </c>
      <c r="BD5" t="s">
        <v>376</v>
      </c>
      <c r="BF5" t="s">
        <v>377</v>
      </c>
      <c r="BH5" t="s">
        <v>374</v>
      </c>
      <c r="BJ5" t="s">
        <v>375</v>
      </c>
      <c r="BK5" t="s">
        <v>376</v>
      </c>
      <c r="BL5" t="s">
        <v>377</v>
      </c>
      <c r="BN5" t="s">
        <v>374</v>
      </c>
      <c r="BO5" t="s">
        <v>375</v>
      </c>
      <c r="BP5" t="s">
        <v>376</v>
      </c>
      <c r="BQ5" t="s">
        <v>377</v>
      </c>
      <c r="BS5" t="s">
        <v>374</v>
      </c>
      <c r="BT5" t="s">
        <v>375</v>
      </c>
      <c r="BU5" t="s">
        <v>378</v>
      </c>
      <c r="BV5" t="s">
        <v>379</v>
      </c>
      <c r="BX5" t="s">
        <v>376</v>
      </c>
      <c r="BY5" t="s">
        <v>377</v>
      </c>
      <c r="CA5" t="s">
        <v>374</v>
      </c>
      <c r="CB5" t="s">
        <v>375</v>
      </c>
      <c r="CD5" t="s">
        <v>376</v>
      </c>
      <c r="CE5" t="s">
        <v>377</v>
      </c>
      <c r="CG5" t="s">
        <v>376</v>
      </c>
      <c r="CH5" t="s">
        <v>377</v>
      </c>
      <c r="CJ5" t="s">
        <v>374</v>
      </c>
      <c r="CK5" t="s">
        <v>375</v>
      </c>
      <c r="CM5" t="s">
        <v>376</v>
      </c>
      <c r="CN5" t="s">
        <v>377</v>
      </c>
      <c r="CP5" t="s">
        <v>374</v>
      </c>
      <c r="CQ5" t="s">
        <v>375</v>
      </c>
      <c r="CS5" t="s">
        <v>376</v>
      </c>
      <c r="CT5" t="s">
        <v>377</v>
      </c>
      <c r="CV5" t="s">
        <v>376</v>
      </c>
      <c r="CW5" t="s">
        <v>377</v>
      </c>
      <c r="CY5" t="s">
        <v>374</v>
      </c>
      <c r="CZ5" t="s">
        <v>375</v>
      </c>
      <c r="DB5" t="s">
        <v>374</v>
      </c>
      <c r="DC5" t="s">
        <v>375</v>
      </c>
      <c r="DD5" t="s">
        <v>378</v>
      </c>
      <c r="DE5" t="s">
        <v>379</v>
      </c>
      <c r="DF5" t="s">
        <v>376</v>
      </c>
      <c r="DG5" t="s">
        <v>377</v>
      </c>
    </row>
    <row r="6" spans="1:113" x14ac:dyDescent="0.25">
      <c r="A6" s="31" t="s">
        <v>344</v>
      </c>
      <c r="B6">
        <v>2</v>
      </c>
      <c r="C6">
        <v>3</v>
      </c>
      <c r="D6">
        <v>4</v>
      </c>
      <c r="E6">
        <v>5</v>
      </c>
      <c r="G6">
        <v>5</v>
      </c>
      <c r="J6">
        <v>5</v>
      </c>
      <c r="L6">
        <v>4</v>
      </c>
      <c r="M6">
        <v>4.0999999999999996</v>
      </c>
      <c r="N6">
        <v>4.5</v>
      </c>
      <c r="O6">
        <v>4.7</v>
      </c>
      <c r="R6">
        <v>5</v>
      </c>
      <c r="U6">
        <v>3</v>
      </c>
      <c r="V6">
        <v>3.8</v>
      </c>
      <c r="W6">
        <v>4.8</v>
      </c>
      <c r="Y6">
        <v>4.5999999999999996</v>
      </c>
      <c r="AA6">
        <v>3</v>
      </c>
      <c r="AB6">
        <v>4.8</v>
      </c>
      <c r="AE6">
        <v>2.2000000000000002</v>
      </c>
      <c r="AF6">
        <v>2.2999999999999998</v>
      </c>
      <c r="AG6">
        <v>4.5</v>
      </c>
      <c r="AI6">
        <v>2.5</v>
      </c>
      <c r="AK6">
        <v>4</v>
      </c>
      <c r="AN6">
        <v>2.1</v>
      </c>
      <c r="AO6">
        <v>2.2999999999999998</v>
      </c>
      <c r="AP6">
        <v>4.3</v>
      </c>
      <c r="AR6">
        <v>4.7</v>
      </c>
      <c r="AU6">
        <v>4.3</v>
      </c>
      <c r="AW6">
        <v>4.2</v>
      </c>
      <c r="AZ6">
        <v>4.8</v>
      </c>
      <c r="BB6">
        <v>3.8</v>
      </c>
      <c r="BD6">
        <v>4.0999999999999996</v>
      </c>
      <c r="BE6">
        <v>4.7</v>
      </c>
      <c r="BH6">
        <v>2.1</v>
      </c>
      <c r="BI6">
        <v>3.3</v>
      </c>
      <c r="BK6">
        <v>3.8</v>
      </c>
      <c r="BN6">
        <v>4.0999999999999996</v>
      </c>
      <c r="BP6">
        <v>4.4000000000000004</v>
      </c>
      <c r="BS6">
        <v>2.7</v>
      </c>
      <c r="BU6">
        <v>4</v>
      </c>
      <c r="BX6">
        <v>2.9</v>
      </c>
      <c r="CA6">
        <v>2.6</v>
      </c>
      <c r="CD6">
        <v>4.5999999999999996</v>
      </c>
      <c r="CG6">
        <v>4.5</v>
      </c>
      <c r="CJ6">
        <v>4.3</v>
      </c>
      <c r="CM6">
        <v>4.7</v>
      </c>
      <c r="CP6">
        <v>4.5999999999999996</v>
      </c>
      <c r="CS6">
        <v>4.5999999999999996</v>
      </c>
      <c r="CV6">
        <v>4.5999999999999996</v>
      </c>
      <c r="CY6">
        <v>2.8</v>
      </c>
      <c r="DB6" t="s">
        <v>348</v>
      </c>
      <c r="DD6" t="s">
        <v>348</v>
      </c>
      <c r="DF6" t="s">
        <v>348</v>
      </c>
    </row>
    <row r="7" spans="1:113" x14ac:dyDescent="0.25">
      <c r="A7" s="32" t="s">
        <v>42</v>
      </c>
    </row>
    <row r="8" spans="1:113" x14ac:dyDescent="0.25">
      <c r="A8" s="32" t="s">
        <v>15</v>
      </c>
    </row>
    <row r="9" spans="1:113" x14ac:dyDescent="0.25">
      <c r="A9" s="32" t="s">
        <v>4</v>
      </c>
    </row>
    <row r="10" spans="1:113" x14ac:dyDescent="0.25">
      <c r="A10" s="32" t="s">
        <v>31</v>
      </c>
    </row>
    <row r="11" spans="1:113" x14ac:dyDescent="0.25">
      <c r="A11" s="32" t="s">
        <v>35</v>
      </c>
    </row>
    <row r="12" spans="1:113" x14ac:dyDescent="0.25">
      <c r="A12" s="32" t="s">
        <v>65</v>
      </c>
    </row>
    <row r="13" spans="1:113" x14ac:dyDescent="0.25">
      <c r="A13" s="32" t="s">
        <v>61</v>
      </c>
    </row>
    <row r="14" spans="1:113" x14ac:dyDescent="0.25">
      <c r="A14" s="32" t="s">
        <v>13</v>
      </c>
    </row>
    <row r="15" spans="1:113" x14ac:dyDescent="0.25">
      <c r="A15" s="32" t="s">
        <v>10</v>
      </c>
    </row>
    <row r="16" spans="1:113" x14ac:dyDescent="0.25">
      <c r="A16" s="32" t="s">
        <v>105</v>
      </c>
    </row>
    <row r="17" spans="1:1" x14ac:dyDescent="0.25">
      <c r="A17" s="32" t="s">
        <v>84</v>
      </c>
    </row>
    <row r="18" spans="1:1" x14ac:dyDescent="0.25">
      <c r="A18" s="32" t="s">
        <v>9</v>
      </c>
    </row>
    <row r="19" spans="1:1" x14ac:dyDescent="0.25">
      <c r="A19" s="32" t="s">
        <v>104</v>
      </c>
    </row>
    <row r="20" spans="1:1" x14ac:dyDescent="0.25">
      <c r="A20" s="32" t="s">
        <v>95</v>
      </c>
    </row>
    <row r="21" spans="1:1" x14ac:dyDescent="0.25">
      <c r="A21" s="32" t="s">
        <v>51</v>
      </c>
    </row>
    <row r="22" spans="1:1" x14ac:dyDescent="0.25">
      <c r="A22" s="32" t="s">
        <v>77</v>
      </c>
    </row>
    <row r="23" spans="1:1" x14ac:dyDescent="0.25">
      <c r="A23" s="32" t="s">
        <v>70</v>
      </c>
    </row>
    <row r="24" spans="1:1" x14ac:dyDescent="0.25">
      <c r="A24" s="32" t="s">
        <v>69</v>
      </c>
    </row>
    <row r="25" spans="1:1" x14ac:dyDescent="0.25">
      <c r="A25" s="32" t="s">
        <v>23</v>
      </c>
    </row>
    <row r="26" spans="1:1" x14ac:dyDescent="0.25">
      <c r="A26" s="32" t="s">
        <v>78</v>
      </c>
    </row>
    <row r="27" spans="1:1" x14ac:dyDescent="0.25">
      <c r="A27" s="32" t="s">
        <v>24</v>
      </c>
    </row>
    <row r="28" spans="1:1" x14ac:dyDescent="0.25">
      <c r="A28" s="32" t="s">
        <v>98</v>
      </c>
    </row>
    <row r="29" spans="1:1" x14ac:dyDescent="0.25">
      <c r="A29" s="32" t="s">
        <v>16</v>
      </c>
    </row>
    <row r="30" spans="1:1" x14ac:dyDescent="0.25">
      <c r="A30" s="32" t="s">
        <v>44</v>
      </c>
    </row>
    <row r="31" spans="1:1" x14ac:dyDescent="0.25">
      <c r="A31" s="32" t="s">
        <v>25</v>
      </c>
    </row>
    <row r="32" spans="1:1" x14ac:dyDescent="0.25">
      <c r="A32" s="32" t="s">
        <v>62</v>
      </c>
    </row>
    <row r="33" spans="1:1" x14ac:dyDescent="0.25">
      <c r="A33" s="32" t="s">
        <v>32</v>
      </c>
    </row>
    <row r="34" spans="1:1" x14ac:dyDescent="0.25">
      <c r="A34" s="32" t="s">
        <v>38</v>
      </c>
    </row>
    <row r="35" spans="1:1" x14ac:dyDescent="0.25">
      <c r="A35" s="32" t="s">
        <v>37</v>
      </c>
    </row>
    <row r="36" spans="1:1" x14ac:dyDescent="0.25">
      <c r="A36" s="32" t="s">
        <v>83</v>
      </c>
    </row>
    <row r="37" spans="1:1" x14ac:dyDescent="0.25">
      <c r="A37" s="32" t="s">
        <v>64</v>
      </c>
    </row>
    <row r="38" spans="1:1" x14ac:dyDescent="0.25">
      <c r="A38" s="32" t="s">
        <v>110</v>
      </c>
    </row>
    <row r="39" spans="1:1" x14ac:dyDescent="0.25">
      <c r="A39" s="32" t="s">
        <v>94</v>
      </c>
    </row>
    <row r="40" spans="1:1" x14ac:dyDescent="0.25">
      <c r="A40" s="32" t="s">
        <v>49</v>
      </c>
    </row>
    <row r="41" spans="1:1" x14ac:dyDescent="0.25">
      <c r="A41" s="32" t="s">
        <v>80</v>
      </c>
    </row>
    <row r="42" spans="1:1" x14ac:dyDescent="0.25">
      <c r="A42" s="32" t="s">
        <v>75</v>
      </c>
    </row>
    <row r="43" spans="1:1" x14ac:dyDescent="0.25">
      <c r="A43" s="32" t="s">
        <v>101</v>
      </c>
    </row>
    <row r="44" spans="1:1" x14ac:dyDescent="0.25">
      <c r="A44" s="32" t="s">
        <v>103</v>
      </c>
    </row>
    <row r="45" spans="1:1" x14ac:dyDescent="0.25">
      <c r="A45" s="32" t="s">
        <v>71</v>
      </c>
    </row>
    <row r="46" spans="1:1" x14ac:dyDescent="0.25">
      <c r="A46" s="32" t="s">
        <v>60</v>
      </c>
    </row>
    <row r="47" spans="1:1" x14ac:dyDescent="0.25">
      <c r="A47" s="32" t="s">
        <v>19</v>
      </c>
    </row>
    <row r="48" spans="1:1" x14ac:dyDescent="0.25">
      <c r="A48" s="32" t="s">
        <v>68</v>
      </c>
    </row>
    <row r="49" spans="1:1" x14ac:dyDescent="0.25">
      <c r="A49" s="32" t="s">
        <v>100</v>
      </c>
    </row>
    <row r="50" spans="1:1" x14ac:dyDescent="0.25">
      <c r="A50" s="32" t="s">
        <v>46</v>
      </c>
    </row>
    <row r="51" spans="1:1" x14ac:dyDescent="0.25">
      <c r="A51" s="32" t="s">
        <v>82</v>
      </c>
    </row>
    <row r="52" spans="1:1" x14ac:dyDescent="0.25">
      <c r="A52" s="32" t="s">
        <v>112</v>
      </c>
    </row>
    <row r="53" spans="1:1" x14ac:dyDescent="0.25">
      <c r="A53" s="32" t="s">
        <v>53</v>
      </c>
    </row>
    <row r="54" spans="1:1" x14ac:dyDescent="0.25">
      <c r="A54" s="32" t="s">
        <v>50</v>
      </c>
    </row>
    <row r="55" spans="1:1" x14ac:dyDescent="0.25">
      <c r="A55" s="32" t="s">
        <v>87</v>
      </c>
    </row>
    <row r="56" spans="1:1" x14ac:dyDescent="0.25">
      <c r="A56" s="32" t="s">
        <v>107</v>
      </c>
    </row>
    <row r="57" spans="1:1" x14ac:dyDescent="0.25">
      <c r="A57" s="32" t="s">
        <v>48</v>
      </c>
    </row>
    <row r="58" spans="1:1" x14ac:dyDescent="0.25">
      <c r="A58" s="32" t="s">
        <v>59</v>
      </c>
    </row>
    <row r="59" spans="1:1" x14ac:dyDescent="0.25">
      <c r="A59" s="32" t="s">
        <v>40</v>
      </c>
    </row>
    <row r="60" spans="1:1" x14ac:dyDescent="0.25">
      <c r="A60" s="32" t="s">
        <v>52</v>
      </c>
    </row>
    <row r="61" spans="1:1" x14ac:dyDescent="0.25">
      <c r="A61" s="32" t="s">
        <v>79</v>
      </c>
    </row>
    <row r="62" spans="1:1" x14ac:dyDescent="0.25">
      <c r="A62" s="32" t="s">
        <v>57</v>
      </c>
    </row>
    <row r="63" spans="1:1" x14ac:dyDescent="0.25">
      <c r="A63" s="32" t="s">
        <v>11</v>
      </c>
    </row>
    <row r="64" spans="1:1" x14ac:dyDescent="0.25">
      <c r="A64" s="32" t="s">
        <v>39</v>
      </c>
    </row>
    <row r="65" spans="1:1" x14ac:dyDescent="0.25">
      <c r="A65" s="32" t="s">
        <v>76</v>
      </c>
    </row>
    <row r="66" spans="1:1" x14ac:dyDescent="0.25">
      <c r="A66" s="32" t="s">
        <v>29</v>
      </c>
    </row>
    <row r="67" spans="1:1" x14ac:dyDescent="0.25">
      <c r="A67" s="32" t="s">
        <v>34</v>
      </c>
    </row>
    <row r="68" spans="1:1" x14ac:dyDescent="0.25">
      <c r="A68" s="32" t="s">
        <v>27</v>
      </c>
    </row>
    <row r="69" spans="1:1" x14ac:dyDescent="0.25">
      <c r="A69" s="32" t="s">
        <v>14</v>
      </c>
    </row>
    <row r="70" spans="1:1" x14ac:dyDescent="0.25">
      <c r="A70" s="32" t="s">
        <v>85</v>
      </c>
    </row>
    <row r="71" spans="1:1" x14ac:dyDescent="0.25">
      <c r="A71" s="32" t="s">
        <v>66</v>
      </c>
    </row>
    <row r="72" spans="1:1" x14ac:dyDescent="0.25">
      <c r="A72" s="32" t="s">
        <v>102</v>
      </c>
    </row>
    <row r="73" spans="1:1" x14ac:dyDescent="0.25">
      <c r="A73" s="32" t="s">
        <v>72</v>
      </c>
    </row>
    <row r="74" spans="1:1" x14ac:dyDescent="0.25">
      <c r="A74" s="32" t="s">
        <v>28</v>
      </c>
    </row>
    <row r="75" spans="1:1" x14ac:dyDescent="0.25">
      <c r="A75" s="32" t="s">
        <v>21</v>
      </c>
    </row>
    <row r="76" spans="1:1" x14ac:dyDescent="0.25">
      <c r="A76" s="32" t="s">
        <v>17</v>
      </c>
    </row>
    <row r="77" spans="1:1" x14ac:dyDescent="0.25">
      <c r="A77" s="32" t="s">
        <v>12</v>
      </c>
    </row>
    <row r="78" spans="1:1" x14ac:dyDescent="0.25">
      <c r="A78" s="32" t="s">
        <v>43</v>
      </c>
    </row>
    <row r="79" spans="1:1" x14ac:dyDescent="0.25">
      <c r="A79" s="32" t="s">
        <v>36</v>
      </c>
    </row>
    <row r="80" spans="1:1" x14ac:dyDescent="0.25">
      <c r="A80" s="32" t="s">
        <v>26</v>
      </c>
    </row>
    <row r="81" spans="1:1" x14ac:dyDescent="0.25">
      <c r="A81" s="32" t="s">
        <v>106</v>
      </c>
    </row>
    <row r="82" spans="1:1" x14ac:dyDescent="0.25">
      <c r="A82" s="32" t="s">
        <v>22</v>
      </c>
    </row>
    <row r="83" spans="1:1" x14ac:dyDescent="0.25">
      <c r="A83" s="32" t="s">
        <v>81</v>
      </c>
    </row>
    <row r="84" spans="1:1" x14ac:dyDescent="0.25">
      <c r="A84" s="32" t="s">
        <v>5</v>
      </c>
    </row>
    <row r="85" spans="1:1" x14ac:dyDescent="0.25">
      <c r="A85" s="32" t="s">
        <v>99</v>
      </c>
    </row>
    <row r="86" spans="1:1" x14ac:dyDescent="0.25">
      <c r="A86" s="32" t="s">
        <v>45</v>
      </c>
    </row>
    <row r="87" spans="1:1" x14ac:dyDescent="0.25">
      <c r="A87" s="32" t="s">
        <v>18</v>
      </c>
    </row>
    <row r="88" spans="1:1" x14ac:dyDescent="0.25">
      <c r="A88" s="32" t="s">
        <v>90</v>
      </c>
    </row>
    <row r="89" spans="1:1" x14ac:dyDescent="0.25">
      <c r="A89" s="32" t="s">
        <v>33</v>
      </c>
    </row>
    <row r="90" spans="1:1" x14ac:dyDescent="0.25">
      <c r="A90" s="32" t="s">
        <v>56</v>
      </c>
    </row>
    <row r="91" spans="1:1" x14ac:dyDescent="0.25">
      <c r="A91" s="32" t="s">
        <v>63</v>
      </c>
    </row>
    <row r="92" spans="1:1" x14ac:dyDescent="0.25">
      <c r="A92" s="32" t="s">
        <v>86</v>
      </c>
    </row>
    <row r="93" spans="1:1" x14ac:dyDescent="0.25">
      <c r="A93" s="32" t="s">
        <v>88</v>
      </c>
    </row>
    <row r="94" spans="1:1" x14ac:dyDescent="0.25">
      <c r="A94" s="32" t="s">
        <v>20</v>
      </c>
    </row>
    <row r="95" spans="1:1" x14ac:dyDescent="0.25">
      <c r="A95" s="32" t="s">
        <v>54</v>
      </c>
    </row>
    <row r="96" spans="1:1" x14ac:dyDescent="0.25">
      <c r="A96" s="32" t="s">
        <v>55</v>
      </c>
    </row>
    <row r="97" spans="1:1" x14ac:dyDescent="0.25">
      <c r="A97" s="32" t="s">
        <v>8</v>
      </c>
    </row>
    <row r="98" spans="1:1" x14ac:dyDescent="0.25">
      <c r="A98" s="32" t="s">
        <v>6</v>
      </c>
    </row>
    <row r="99" spans="1:1" x14ac:dyDescent="0.25">
      <c r="A99" s="32" t="s">
        <v>97</v>
      </c>
    </row>
    <row r="100" spans="1:1" x14ac:dyDescent="0.25">
      <c r="A100" s="32" t="s">
        <v>30</v>
      </c>
    </row>
    <row r="101" spans="1:1" x14ac:dyDescent="0.25">
      <c r="A101" s="32" t="s">
        <v>92</v>
      </c>
    </row>
    <row r="102" spans="1:1" x14ac:dyDescent="0.25">
      <c r="A102" s="32" t="s">
        <v>41</v>
      </c>
    </row>
    <row r="103" spans="1:1" x14ac:dyDescent="0.25">
      <c r="A103" s="32" t="s">
        <v>93</v>
      </c>
    </row>
    <row r="104" spans="1:1" x14ac:dyDescent="0.25">
      <c r="A104" s="32" t="s">
        <v>47</v>
      </c>
    </row>
    <row r="105" spans="1:1" x14ac:dyDescent="0.25">
      <c r="A105" s="32" t="s">
        <v>108</v>
      </c>
    </row>
    <row r="106" spans="1:1" x14ac:dyDescent="0.25">
      <c r="A106" s="32" t="s">
        <v>58</v>
      </c>
    </row>
    <row r="107" spans="1:1" x14ac:dyDescent="0.25">
      <c r="A107" s="32" t="s">
        <v>109</v>
      </c>
    </row>
    <row r="108" spans="1:1" x14ac:dyDescent="0.25">
      <c r="A108" s="32" t="s">
        <v>67</v>
      </c>
    </row>
    <row r="109" spans="1:1" x14ac:dyDescent="0.25">
      <c r="A109" s="32" t="s">
        <v>91</v>
      </c>
    </row>
    <row r="110" spans="1:1" x14ac:dyDescent="0.25">
      <c r="A110" s="32" t="s">
        <v>96</v>
      </c>
    </row>
    <row r="111" spans="1:1" x14ac:dyDescent="0.25">
      <c r="A111" s="32" t="s">
        <v>111</v>
      </c>
    </row>
    <row r="112" spans="1:1" x14ac:dyDescent="0.25">
      <c r="A112" s="32" t="s">
        <v>89</v>
      </c>
    </row>
    <row r="113" spans="1:1" x14ac:dyDescent="0.25">
      <c r="A113" s="32" t="s">
        <v>73</v>
      </c>
    </row>
    <row r="114" spans="1:1" x14ac:dyDescent="0.25">
      <c r="A114" s="32" t="s">
        <v>7</v>
      </c>
    </row>
    <row r="115" spans="1:1" x14ac:dyDescent="0.25">
      <c r="A115" s="32" t="s">
        <v>74</v>
      </c>
    </row>
    <row r="116" spans="1:1" x14ac:dyDescent="0.25">
      <c r="A116" s="32" t="s">
        <v>345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4CF0-4D9C-4326-B854-AE0F8184833C}">
  <dimension ref="A3:B8"/>
  <sheetViews>
    <sheetView workbookViewId="0">
      <selection activeCell="B6" sqref="B6"/>
    </sheetView>
  </sheetViews>
  <sheetFormatPr defaultRowHeight="15" x14ac:dyDescent="0.25"/>
  <cols>
    <col min="1" max="1" width="13.140625" bestFit="1" customWidth="1"/>
    <col min="2" max="2" width="16" bestFit="1" customWidth="1"/>
  </cols>
  <sheetData>
    <row r="3" spans="1:2" x14ac:dyDescent="0.25">
      <c r="A3" s="31" t="s">
        <v>344</v>
      </c>
      <c r="B3" t="s">
        <v>380</v>
      </c>
    </row>
    <row r="4" spans="1:2" x14ac:dyDescent="0.25">
      <c r="A4" s="32"/>
      <c r="B4" s="34">
        <v>55</v>
      </c>
    </row>
    <row r="5" spans="1:2" x14ac:dyDescent="0.25">
      <c r="A5" s="32" t="s">
        <v>342</v>
      </c>
      <c r="B5" s="34">
        <v>26</v>
      </c>
    </row>
    <row r="6" spans="1:2" x14ac:dyDescent="0.25">
      <c r="A6" s="32" t="s">
        <v>341</v>
      </c>
      <c r="B6" s="34">
        <v>19</v>
      </c>
    </row>
    <row r="7" spans="1:2" x14ac:dyDescent="0.25">
      <c r="A7" s="32" t="s">
        <v>343</v>
      </c>
      <c r="B7" s="34">
        <v>12</v>
      </c>
    </row>
    <row r="8" spans="1:2" x14ac:dyDescent="0.25">
      <c r="A8" s="32" t="s">
        <v>345</v>
      </c>
      <c r="B8" s="34">
        <v>112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B3A52-C6FD-4689-9065-1F10997AC5E6}">
  <dimension ref="A3:B50"/>
  <sheetViews>
    <sheetView topLeftCell="A2" workbookViewId="0">
      <selection activeCell="B10" sqref="B10"/>
    </sheetView>
  </sheetViews>
  <sheetFormatPr defaultRowHeight="15" x14ac:dyDescent="0.25"/>
  <cols>
    <col min="1" max="1" width="13.140625" bestFit="1" customWidth="1"/>
    <col min="2" max="2" width="15.7109375" bestFit="1" customWidth="1"/>
    <col min="3" max="8" width="2" bestFit="1" customWidth="1"/>
    <col min="9" max="22" width="3" bestFit="1" customWidth="1"/>
    <col min="23" max="23" width="7.28515625" bestFit="1" customWidth="1"/>
    <col min="24" max="24" width="11.28515625" bestFit="1" customWidth="1"/>
  </cols>
  <sheetData>
    <row r="3" spans="1:2" x14ac:dyDescent="0.25">
      <c r="A3" s="31" t="s">
        <v>344</v>
      </c>
      <c r="B3" t="s">
        <v>346</v>
      </c>
    </row>
    <row r="4" spans="1:2" x14ac:dyDescent="0.25">
      <c r="A4" s="33">
        <v>0.01</v>
      </c>
      <c r="B4" s="34"/>
    </row>
    <row r="5" spans="1:2" x14ac:dyDescent="0.25">
      <c r="A5" s="33">
        <v>0.02</v>
      </c>
      <c r="B5" s="34"/>
    </row>
    <row r="6" spans="1:2" x14ac:dyDescent="0.25">
      <c r="A6" s="33">
        <v>0.03</v>
      </c>
      <c r="B6" s="34"/>
    </row>
    <row r="7" spans="1:2" x14ac:dyDescent="0.25">
      <c r="A7" s="33">
        <v>0.04</v>
      </c>
      <c r="B7" s="34"/>
    </row>
    <row r="8" spans="1:2" x14ac:dyDescent="0.25">
      <c r="A8" s="33">
        <v>0.08</v>
      </c>
      <c r="B8" s="34"/>
    </row>
    <row r="9" spans="1:2" x14ac:dyDescent="0.25">
      <c r="A9" s="33">
        <v>0.09</v>
      </c>
      <c r="B9" s="34">
        <v>1</v>
      </c>
    </row>
    <row r="10" spans="1:2" x14ac:dyDescent="0.25">
      <c r="A10" s="33">
        <v>0.11</v>
      </c>
      <c r="B10" s="34"/>
    </row>
    <row r="11" spans="1:2" x14ac:dyDescent="0.25">
      <c r="A11" s="33">
        <v>0.13</v>
      </c>
      <c r="B11" s="34">
        <v>1</v>
      </c>
    </row>
    <row r="12" spans="1:2" x14ac:dyDescent="0.25">
      <c r="A12" s="33">
        <v>0.14000000000000001</v>
      </c>
      <c r="B12" s="34"/>
    </row>
    <row r="13" spans="1:2" x14ac:dyDescent="0.25">
      <c r="A13" s="33">
        <v>0.18</v>
      </c>
      <c r="B13" s="34">
        <v>1</v>
      </c>
    </row>
    <row r="14" spans="1:2" x14ac:dyDescent="0.25">
      <c r="A14" s="33">
        <v>0.19</v>
      </c>
      <c r="B14" s="34">
        <v>1</v>
      </c>
    </row>
    <row r="15" spans="1:2" x14ac:dyDescent="0.25">
      <c r="A15" s="33">
        <v>0.2</v>
      </c>
      <c r="B15" s="34">
        <v>1</v>
      </c>
    </row>
    <row r="16" spans="1:2" x14ac:dyDescent="0.25">
      <c r="A16" s="33">
        <v>0.21</v>
      </c>
      <c r="B16" s="34">
        <v>1</v>
      </c>
    </row>
    <row r="17" spans="1:2" x14ac:dyDescent="0.25">
      <c r="A17" s="33">
        <v>0.22</v>
      </c>
      <c r="B17" s="34">
        <v>1</v>
      </c>
    </row>
    <row r="18" spans="1:2" x14ac:dyDescent="0.25">
      <c r="A18" s="33">
        <v>0.23</v>
      </c>
      <c r="B18" s="34">
        <v>1</v>
      </c>
    </row>
    <row r="19" spans="1:2" x14ac:dyDescent="0.25">
      <c r="A19" s="33">
        <v>0.24</v>
      </c>
      <c r="B19" s="34">
        <v>1</v>
      </c>
    </row>
    <row r="20" spans="1:2" x14ac:dyDescent="0.25">
      <c r="A20" s="33">
        <v>0.25</v>
      </c>
      <c r="B20" s="34">
        <v>1</v>
      </c>
    </row>
    <row r="21" spans="1:2" x14ac:dyDescent="0.25">
      <c r="A21" s="33">
        <v>0.26</v>
      </c>
      <c r="B21" s="34">
        <v>1</v>
      </c>
    </row>
    <row r="22" spans="1:2" x14ac:dyDescent="0.25">
      <c r="A22" s="33">
        <v>0.27</v>
      </c>
      <c r="B22" s="34">
        <v>2</v>
      </c>
    </row>
    <row r="23" spans="1:2" x14ac:dyDescent="0.25">
      <c r="A23" s="33">
        <v>0.28999999999999998</v>
      </c>
      <c r="B23" s="34">
        <v>1</v>
      </c>
    </row>
    <row r="24" spans="1:2" x14ac:dyDescent="0.25">
      <c r="A24" s="33">
        <v>0.3</v>
      </c>
      <c r="B24" s="34">
        <v>1</v>
      </c>
    </row>
    <row r="25" spans="1:2" x14ac:dyDescent="0.25">
      <c r="A25" s="33">
        <v>0.32</v>
      </c>
      <c r="B25" s="34">
        <v>1</v>
      </c>
    </row>
    <row r="26" spans="1:2" x14ac:dyDescent="0.25">
      <c r="A26" s="33">
        <v>0.33</v>
      </c>
      <c r="B26" s="34">
        <v>1</v>
      </c>
    </row>
    <row r="27" spans="1:2" x14ac:dyDescent="0.25">
      <c r="A27" s="33">
        <v>0.34</v>
      </c>
      <c r="B27" s="34">
        <v>2</v>
      </c>
    </row>
    <row r="28" spans="1:2" x14ac:dyDescent="0.25">
      <c r="A28" s="33">
        <v>0.35</v>
      </c>
      <c r="B28" s="34">
        <v>2</v>
      </c>
    </row>
    <row r="29" spans="1:2" x14ac:dyDescent="0.25">
      <c r="A29" s="33">
        <v>0.36</v>
      </c>
      <c r="B29" s="34"/>
    </row>
    <row r="30" spans="1:2" x14ac:dyDescent="0.25">
      <c r="A30" s="33">
        <v>0.37</v>
      </c>
      <c r="B30" s="34">
        <v>2</v>
      </c>
    </row>
    <row r="31" spans="1:2" x14ac:dyDescent="0.25">
      <c r="A31" s="33">
        <v>0.38</v>
      </c>
      <c r="B31" s="34">
        <v>2</v>
      </c>
    </row>
    <row r="32" spans="1:2" x14ac:dyDescent="0.25">
      <c r="A32" s="33">
        <v>0.39</v>
      </c>
      <c r="B32" s="34">
        <v>1</v>
      </c>
    </row>
    <row r="33" spans="1:2" x14ac:dyDescent="0.25">
      <c r="A33" s="33">
        <v>0.4</v>
      </c>
      <c r="B33" s="34">
        <v>1</v>
      </c>
    </row>
    <row r="34" spans="1:2" x14ac:dyDescent="0.25">
      <c r="A34" s="33">
        <v>0.41</v>
      </c>
      <c r="B34" s="34">
        <v>1</v>
      </c>
    </row>
    <row r="35" spans="1:2" x14ac:dyDescent="0.25">
      <c r="A35" s="33">
        <v>0.42</v>
      </c>
      <c r="B35" s="34">
        <v>1</v>
      </c>
    </row>
    <row r="36" spans="1:2" x14ac:dyDescent="0.25">
      <c r="A36" s="33">
        <v>0.43</v>
      </c>
      <c r="B36" s="34">
        <v>2</v>
      </c>
    </row>
    <row r="37" spans="1:2" x14ac:dyDescent="0.25">
      <c r="A37" s="33">
        <v>0.45</v>
      </c>
      <c r="B37" s="34">
        <v>3</v>
      </c>
    </row>
    <row r="38" spans="1:2" x14ac:dyDescent="0.25">
      <c r="A38" s="33">
        <v>0.46</v>
      </c>
      <c r="B38" s="34">
        <v>2</v>
      </c>
    </row>
    <row r="39" spans="1:2" x14ac:dyDescent="0.25">
      <c r="A39" s="33">
        <v>0.47</v>
      </c>
      <c r="B39" s="34">
        <v>4</v>
      </c>
    </row>
    <row r="40" spans="1:2" x14ac:dyDescent="0.25">
      <c r="A40" s="33">
        <v>0.48</v>
      </c>
      <c r="B40" s="34">
        <v>1</v>
      </c>
    </row>
    <row r="41" spans="1:2" x14ac:dyDescent="0.25">
      <c r="A41" s="33">
        <v>0.49</v>
      </c>
      <c r="B41" s="34">
        <v>5</v>
      </c>
    </row>
    <row r="42" spans="1:2" x14ac:dyDescent="0.25">
      <c r="A42" s="33">
        <v>0.5</v>
      </c>
      <c r="B42" s="34">
        <v>2</v>
      </c>
    </row>
    <row r="43" spans="1:2" x14ac:dyDescent="0.25">
      <c r="A43" s="33">
        <v>0.51</v>
      </c>
      <c r="B43" s="34">
        <v>1</v>
      </c>
    </row>
    <row r="44" spans="1:2" x14ac:dyDescent="0.25">
      <c r="A44" s="33">
        <v>0.52</v>
      </c>
      <c r="B44" s="34">
        <v>2</v>
      </c>
    </row>
    <row r="45" spans="1:2" x14ac:dyDescent="0.25">
      <c r="A45" s="33">
        <v>0.53</v>
      </c>
      <c r="B45" s="34">
        <v>2</v>
      </c>
    </row>
    <row r="46" spans="1:2" x14ac:dyDescent="0.25">
      <c r="A46" s="33">
        <v>0.54</v>
      </c>
      <c r="B46" s="34">
        <v>2</v>
      </c>
    </row>
    <row r="47" spans="1:2" x14ac:dyDescent="0.25">
      <c r="A47" s="33">
        <v>0.55000000000000004</v>
      </c>
      <c r="B47" s="34">
        <v>2</v>
      </c>
    </row>
    <row r="48" spans="1:2" x14ac:dyDescent="0.25">
      <c r="A48" s="33">
        <v>0.61</v>
      </c>
      <c r="B48" s="34"/>
    </row>
    <row r="49" spans="1:2" x14ac:dyDescent="0.25">
      <c r="A49" s="33">
        <v>0.64</v>
      </c>
      <c r="B49" s="34"/>
    </row>
    <row r="50" spans="1:2" x14ac:dyDescent="0.25">
      <c r="A50" s="33" t="s">
        <v>345</v>
      </c>
      <c r="B50" s="34">
        <v>57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04F18-F0A8-429F-A4E2-DF886A02E7F0}">
  <dimension ref="A3:B26"/>
  <sheetViews>
    <sheetView workbookViewId="0">
      <selection activeCell="B7" sqref="B7"/>
    </sheetView>
  </sheetViews>
  <sheetFormatPr defaultRowHeight="15" x14ac:dyDescent="0.25"/>
  <cols>
    <col min="1" max="1" width="13.140625" bestFit="1" customWidth="1"/>
    <col min="2" max="2" width="15.7109375" bestFit="1" customWidth="1"/>
  </cols>
  <sheetData>
    <row r="3" spans="1:2" x14ac:dyDescent="0.25">
      <c r="A3" s="31" t="s">
        <v>344</v>
      </c>
      <c r="B3" t="s">
        <v>346</v>
      </c>
    </row>
    <row r="4" spans="1:2" x14ac:dyDescent="0.25">
      <c r="A4" s="32">
        <v>2</v>
      </c>
      <c r="B4" s="34">
        <v>1</v>
      </c>
    </row>
    <row r="5" spans="1:2" x14ac:dyDescent="0.25">
      <c r="A5" s="32">
        <v>2.1</v>
      </c>
      <c r="B5" s="34">
        <v>2</v>
      </c>
    </row>
    <row r="6" spans="1:2" x14ac:dyDescent="0.25">
      <c r="A6" s="32">
        <v>2.2000000000000002</v>
      </c>
      <c r="B6" s="34">
        <v>2</v>
      </c>
    </row>
    <row r="7" spans="1:2" x14ac:dyDescent="0.25">
      <c r="A7" s="32">
        <v>2.2999999999999998</v>
      </c>
      <c r="B7" s="34">
        <v>2</v>
      </c>
    </row>
    <row r="8" spans="1:2" x14ac:dyDescent="0.25">
      <c r="A8" s="32">
        <v>2.5</v>
      </c>
      <c r="B8" s="34">
        <v>1</v>
      </c>
    </row>
    <row r="9" spans="1:2" x14ac:dyDescent="0.25">
      <c r="A9" s="32">
        <v>2.6</v>
      </c>
      <c r="B9" s="34">
        <v>1</v>
      </c>
    </row>
    <row r="10" spans="1:2" x14ac:dyDescent="0.25">
      <c r="A10" s="32">
        <v>2.7</v>
      </c>
      <c r="B10" s="34">
        <v>1</v>
      </c>
    </row>
    <row r="11" spans="1:2" x14ac:dyDescent="0.25">
      <c r="A11" s="32">
        <v>2.8</v>
      </c>
      <c r="B11" s="34">
        <v>1</v>
      </c>
    </row>
    <row r="12" spans="1:2" x14ac:dyDescent="0.25">
      <c r="A12" s="32">
        <v>2.9</v>
      </c>
      <c r="B12" s="34">
        <v>1</v>
      </c>
    </row>
    <row r="13" spans="1:2" x14ac:dyDescent="0.25">
      <c r="A13" s="32">
        <v>3</v>
      </c>
      <c r="B13" s="34">
        <v>5</v>
      </c>
    </row>
    <row r="14" spans="1:2" x14ac:dyDescent="0.25">
      <c r="A14" s="32">
        <v>3.3</v>
      </c>
      <c r="B14" s="34">
        <v>1</v>
      </c>
    </row>
    <row r="15" spans="1:2" x14ac:dyDescent="0.25">
      <c r="A15" s="32">
        <v>3.8</v>
      </c>
      <c r="B15" s="34">
        <v>3</v>
      </c>
    </row>
    <row r="16" spans="1:2" x14ac:dyDescent="0.25">
      <c r="A16" s="32">
        <v>4</v>
      </c>
      <c r="B16" s="34">
        <v>4</v>
      </c>
    </row>
    <row r="17" spans="1:2" x14ac:dyDescent="0.25">
      <c r="A17" s="32">
        <v>4.0999999999999996</v>
      </c>
      <c r="B17" s="34">
        <v>3</v>
      </c>
    </row>
    <row r="18" spans="1:2" x14ac:dyDescent="0.25">
      <c r="A18" s="32">
        <v>4.2</v>
      </c>
      <c r="B18" s="34">
        <v>1</v>
      </c>
    </row>
    <row r="19" spans="1:2" x14ac:dyDescent="0.25">
      <c r="A19" s="32">
        <v>4.3</v>
      </c>
      <c r="B19" s="34">
        <v>4</v>
      </c>
    </row>
    <row r="20" spans="1:2" x14ac:dyDescent="0.25">
      <c r="A20" s="32">
        <v>4.4000000000000004</v>
      </c>
      <c r="B20" s="34">
        <v>1</v>
      </c>
    </row>
    <row r="21" spans="1:2" x14ac:dyDescent="0.25">
      <c r="A21" s="32">
        <v>4.5</v>
      </c>
      <c r="B21" s="34">
        <v>4</v>
      </c>
    </row>
    <row r="22" spans="1:2" x14ac:dyDescent="0.25">
      <c r="A22" s="32">
        <v>4.5999999999999996</v>
      </c>
      <c r="B22" s="34">
        <v>5</v>
      </c>
    </row>
    <row r="23" spans="1:2" x14ac:dyDescent="0.25">
      <c r="A23" s="32">
        <v>4.7</v>
      </c>
      <c r="B23" s="34">
        <v>4</v>
      </c>
    </row>
    <row r="24" spans="1:2" x14ac:dyDescent="0.25">
      <c r="A24" s="32">
        <v>4.8</v>
      </c>
      <c r="B24" s="34">
        <v>3</v>
      </c>
    </row>
    <row r="25" spans="1:2" x14ac:dyDescent="0.25">
      <c r="A25" s="32">
        <v>5</v>
      </c>
      <c r="B25" s="34">
        <v>7</v>
      </c>
    </row>
    <row r="26" spans="1:2" x14ac:dyDescent="0.25">
      <c r="A26" s="32" t="s">
        <v>345</v>
      </c>
      <c r="B26" s="34">
        <v>57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A210-57D1-4709-A37B-0B610F5DA637}">
  <dimension ref="A3:D14"/>
  <sheetViews>
    <sheetView workbookViewId="0">
      <selection activeCell="A7" sqref="A4:A13"/>
      <pivotSelection pane="bottomRight" showHeader="1" activeRow="6" click="1" r:id="rId1">
        <pivotArea dataOnly="0" labelOnly="1" fieldPosition="0">
          <references count="1">
            <reference field="0" count="0"/>
          </references>
        </pivotArea>
      </pivotSelection>
    </sheetView>
  </sheetViews>
  <sheetFormatPr defaultRowHeight="15" x14ac:dyDescent="0.25"/>
  <cols>
    <col min="1" max="1" width="69.85546875" bestFit="1" customWidth="1"/>
    <col min="2" max="2" width="16.7109375" bestFit="1" customWidth="1"/>
    <col min="3" max="3" width="14.28515625" bestFit="1" customWidth="1"/>
    <col min="4" max="4" width="19" bestFit="1" customWidth="1"/>
  </cols>
  <sheetData>
    <row r="3" spans="1:4" x14ac:dyDescent="0.25">
      <c r="A3" s="31" t="s">
        <v>344</v>
      </c>
      <c r="B3" t="s">
        <v>347</v>
      </c>
      <c r="C3" t="s">
        <v>350</v>
      </c>
      <c r="D3" t="s">
        <v>381</v>
      </c>
    </row>
    <row r="4" spans="1:4" x14ac:dyDescent="0.25">
      <c r="A4" s="32" t="s">
        <v>16</v>
      </c>
      <c r="B4" s="34">
        <v>4.8</v>
      </c>
      <c r="C4" s="34">
        <v>12</v>
      </c>
      <c r="D4" s="34">
        <v>0.47</v>
      </c>
    </row>
    <row r="5" spans="1:4" x14ac:dyDescent="0.25">
      <c r="A5" s="32" t="s">
        <v>19</v>
      </c>
      <c r="B5" s="34">
        <v>5</v>
      </c>
      <c r="C5" s="34">
        <v>2</v>
      </c>
      <c r="D5" s="34">
        <v>0.51</v>
      </c>
    </row>
    <row r="6" spans="1:4" x14ac:dyDescent="0.25">
      <c r="A6" s="32" t="s">
        <v>82</v>
      </c>
      <c r="B6" s="34">
        <v>5</v>
      </c>
      <c r="C6" s="34">
        <v>1</v>
      </c>
      <c r="D6" s="34">
        <v>0.49</v>
      </c>
    </row>
    <row r="7" spans="1:4" x14ac:dyDescent="0.25">
      <c r="A7" s="32" t="s">
        <v>40</v>
      </c>
      <c r="B7" s="34">
        <v>5</v>
      </c>
      <c r="C7" s="34">
        <v>2</v>
      </c>
      <c r="D7" s="34">
        <v>0.53</v>
      </c>
    </row>
    <row r="8" spans="1:4" x14ac:dyDescent="0.25">
      <c r="A8" s="32" t="s">
        <v>39</v>
      </c>
      <c r="B8" s="34">
        <v>5</v>
      </c>
      <c r="C8" s="34">
        <v>1</v>
      </c>
      <c r="D8" s="34">
        <v>0.4</v>
      </c>
    </row>
    <row r="9" spans="1:4" x14ac:dyDescent="0.25">
      <c r="A9" s="32" t="s">
        <v>102</v>
      </c>
      <c r="B9" s="34">
        <v>5</v>
      </c>
      <c r="C9" s="34">
        <v>1</v>
      </c>
      <c r="D9" s="34">
        <v>0.21</v>
      </c>
    </row>
    <row r="10" spans="1:4" x14ac:dyDescent="0.25">
      <c r="A10" s="32" t="s">
        <v>21</v>
      </c>
      <c r="B10" s="34">
        <v>5</v>
      </c>
      <c r="C10" s="34">
        <v>3</v>
      </c>
      <c r="D10" s="34">
        <v>0.49</v>
      </c>
    </row>
    <row r="11" spans="1:4" x14ac:dyDescent="0.25">
      <c r="A11" s="32" t="s">
        <v>12</v>
      </c>
      <c r="B11" s="34">
        <v>4.8</v>
      </c>
      <c r="C11" s="34">
        <v>5</v>
      </c>
      <c r="D11" s="34">
        <v>0.55000000000000004</v>
      </c>
    </row>
    <row r="12" spans="1:4" x14ac:dyDescent="0.25">
      <c r="A12" s="32" t="s">
        <v>20</v>
      </c>
      <c r="B12" s="34">
        <v>5</v>
      </c>
      <c r="C12" s="34">
        <v>2</v>
      </c>
      <c r="D12" s="34">
        <v>0.46</v>
      </c>
    </row>
    <row r="13" spans="1:4" x14ac:dyDescent="0.25">
      <c r="A13" s="32" t="s">
        <v>8</v>
      </c>
      <c r="B13" s="34">
        <v>4.8</v>
      </c>
      <c r="C13" s="34">
        <v>5</v>
      </c>
      <c r="D13" s="34">
        <v>0.26</v>
      </c>
    </row>
    <row r="14" spans="1:4" x14ac:dyDescent="0.25">
      <c r="A14" s="32" t="s">
        <v>345</v>
      </c>
      <c r="B14" s="34">
        <v>4.9399999999999995</v>
      </c>
      <c r="C14" s="34">
        <v>34</v>
      </c>
      <c r="D14" s="34">
        <v>0.43699999999999994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66687-5455-4DFA-8751-A211541C74B5}">
  <dimension ref="A3:B11"/>
  <sheetViews>
    <sheetView workbookViewId="0">
      <selection activeCell="A5" sqref="A4:A10"/>
      <pivotSelection pane="bottomRight" showHeader="1" axis="axisRow" activeRow="4" previousRow="4" click="1" r:id="rId1">
        <pivotArea dataOnly="0" labelOnly="1" fieldPosition="0">
          <references count="1">
            <reference field="0" count="0"/>
          </references>
        </pivotArea>
      </pivotSelection>
    </sheetView>
  </sheetViews>
  <sheetFormatPr defaultRowHeight="15" x14ac:dyDescent="0.25"/>
  <cols>
    <col min="1" max="1" width="69.85546875" bestFit="1" customWidth="1"/>
    <col min="2" max="2" width="16.7109375" bestFit="1" customWidth="1"/>
    <col min="3" max="3" width="13.28515625" bestFit="1" customWidth="1"/>
  </cols>
  <sheetData>
    <row r="3" spans="1:2" x14ac:dyDescent="0.25">
      <c r="A3" s="31" t="s">
        <v>344</v>
      </c>
      <c r="B3" t="s">
        <v>347</v>
      </c>
    </row>
    <row r="4" spans="1:2" x14ac:dyDescent="0.25">
      <c r="A4" s="32" t="s">
        <v>19</v>
      </c>
      <c r="B4" s="34">
        <v>5</v>
      </c>
    </row>
    <row r="5" spans="1:2" x14ac:dyDescent="0.25">
      <c r="A5" s="32" t="s">
        <v>82</v>
      </c>
      <c r="B5" s="34">
        <v>5</v>
      </c>
    </row>
    <row r="6" spans="1:2" x14ac:dyDescent="0.25">
      <c r="A6" s="32" t="s">
        <v>40</v>
      </c>
      <c r="B6" s="34">
        <v>5</v>
      </c>
    </row>
    <row r="7" spans="1:2" x14ac:dyDescent="0.25">
      <c r="A7" s="32" t="s">
        <v>39</v>
      </c>
      <c r="B7" s="34">
        <v>5</v>
      </c>
    </row>
    <row r="8" spans="1:2" x14ac:dyDescent="0.25">
      <c r="A8" s="32" t="s">
        <v>102</v>
      </c>
      <c r="B8" s="34">
        <v>5</v>
      </c>
    </row>
    <row r="9" spans="1:2" x14ac:dyDescent="0.25">
      <c r="A9" s="32" t="s">
        <v>21</v>
      </c>
      <c r="B9" s="34">
        <v>5</v>
      </c>
    </row>
    <row r="10" spans="1:2" x14ac:dyDescent="0.25">
      <c r="A10" s="32" t="s">
        <v>20</v>
      </c>
      <c r="B10" s="34">
        <v>5</v>
      </c>
    </row>
    <row r="11" spans="1:2" x14ac:dyDescent="0.25">
      <c r="A11" s="32" t="s">
        <v>345</v>
      </c>
      <c r="B11" s="34">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EF667-D9F1-48E8-A59C-C8164D39A5B3}">
  <dimension ref="A3:B78"/>
  <sheetViews>
    <sheetView topLeftCell="A3" workbookViewId="0">
      <selection activeCell="A4" sqref="A4"/>
      <pivotSelection pane="bottomRight" showHeader="1" activeRow="3" click="1" r:id="rId1">
        <pivotArea dataOnly="0" labelOnly="1" fieldPosition="0">
          <references count="1">
            <reference field="7" count="0"/>
          </references>
        </pivotArea>
      </pivotSelection>
    </sheetView>
  </sheetViews>
  <sheetFormatPr defaultRowHeight="15" x14ac:dyDescent="0.25"/>
  <cols>
    <col min="1" max="1" width="99.5703125" bestFit="1" customWidth="1"/>
    <col min="2" max="2" width="16.7109375" bestFit="1" customWidth="1"/>
    <col min="3" max="3" width="52.85546875" bestFit="1" customWidth="1"/>
    <col min="4" max="4" width="51.7109375" bestFit="1" customWidth="1"/>
    <col min="5" max="5" width="31.140625" bestFit="1" customWidth="1"/>
    <col min="6" max="6" width="30.85546875" bestFit="1" customWidth="1"/>
    <col min="7" max="7" width="62.140625" bestFit="1" customWidth="1"/>
    <col min="8" max="8" width="65.42578125" bestFit="1" customWidth="1"/>
    <col min="9" max="9" width="34.28515625" bestFit="1" customWidth="1"/>
    <col min="10" max="10" width="48" bestFit="1" customWidth="1"/>
    <col min="11" max="11" width="42.42578125" bestFit="1" customWidth="1"/>
    <col min="12" max="12" width="70.5703125" bestFit="1" customWidth="1"/>
    <col min="13" max="13" width="64.85546875" bestFit="1" customWidth="1"/>
    <col min="14" max="14" width="66.5703125" bestFit="1" customWidth="1"/>
    <col min="15" max="15" width="52.85546875" bestFit="1" customWidth="1"/>
    <col min="16" max="16" width="39.28515625" bestFit="1" customWidth="1"/>
    <col min="17" max="17" width="61.42578125" bestFit="1" customWidth="1"/>
    <col min="18" max="18" width="71.140625" bestFit="1" customWidth="1"/>
    <col min="19" max="19" width="56.7109375" bestFit="1" customWidth="1"/>
    <col min="20" max="20" width="48.7109375" bestFit="1" customWidth="1"/>
    <col min="21" max="21" width="40.42578125" bestFit="1" customWidth="1"/>
    <col min="22" max="22" width="50.140625" bestFit="1" customWidth="1"/>
    <col min="23" max="23" width="45.140625" bestFit="1" customWidth="1"/>
    <col min="24" max="24" width="37" bestFit="1" customWidth="1"/>
    <col min="25" max="25" width="48.140625" bestFit="1" customWidth="1"/>
    <col min="26" max="26" width="65" bestFit="1" customWidth="1"/>
    <col min="27" max="27" width="48.7109375" bestFit="1" customWidth="1"/>
    <col min="28" max="28" width="53.85546875" bestFit="1" customWidth="1"/>
    <col min="29" max="29" width="56.140625" bestFit="1" customWidth="1"/>
    <col min="30" max="30" width="56.42578125" bestFit="1" customWidth="1"/>
    <col min="31" max="31" width="96" bestFit="1" customWidth="1"/>
    <col min="32" max="32" width="53.5703125" bestFit="1" customWidth="1"/>
    <col min="33" max="33" width="49.28515625" bestFit="1" customWidth="1"/>
    <col min="34" max="34" width="58.28515625" bestFit="1" customWidth="1"/>
    <col min="35" max="35" width="60.7109375" bestFit="1" customWidth="1"/>
    <col min="36" max="36" width="65.5703125" bestFit="1" customWidth="1"/>
    <col min="37" max="37" width="54.28515625" bestFit="1" customWidth="1"/>
    <col min="38" max="38" width="29.42578125" bestFit="1" customWidth="1"/>
    <col min="39" max="39" width="63.28515625" bestFit="1" customWidth="1"/>
    <col min="40" max="40" width="51" bestFit="1" customWidth="1"/>
    <col min="41" max="41" width="56.28515625" bestFit="1" customWidth="1"/>
    <col min="42" max="42" width="52" bestFit="1" customWidth="1"/>
    <col min="43" max="43" width="56" bestFit="1" customWidth="1"/>
    <col min="44" max="44" width="56.5703125" bestFit="1" customWidth="1"/>
    <col min="45" max="45" width="49.140625" bestFit="1" customWidth="1"/>
    <col min="46" max="46" width="67.140625" bestFit="1" customWidth="1"/>
    <col min="47" max="47" width="53.42578125" bestFit="1" customWidth="1"/>
    <col min="48" max="48" width="35.5703125" bestFit="1" customWidth="1"/>
    <col min="49" max="49" width="24" bestFit="1" customWidth="1"/>
    <col min="50" max="50" width="56.140625" bestFit="1" customWidth="1"/>
    <col min="51" max="51" width="63" bestFit="1" customWidth="1"/>
    <col min="52" max="52" width="56.28515625" bestFit="1" customWidth="1"/>
    <col min="53" max="53" width="59.140625" bestFit="1" customWidth="1"/>
    <col min="54" max="54" width="51.5703125" bestFit="1" customWidth="1"/>
    <col min="55" max="55" width="32.42578125" bestFit="1" customWidth="1"/>
    <col min="56" max="56" width="69.85546875" bestFit="1" customWidth="1"/>
    <col min="57" max="57" width="55.7109375" bestFit="1" customWidth="1"/>
    <col min="58" max="58" width="53.42578125" bestFit="1" customWidth="1"/>
    <col min="59" max="59" width="70" bestFit="1" customWidth="1"/>
    <col min="60" max="60" width="72.5703125" bestFit="1" customWidth="1"/>
    <col min="61" max="61" width="37.42578125" bestFit="1" customWidth="1"/>
    <col min="62" max="62" width="38.5703125" bestFit="1" customWidth="1"/>
    <col min="63" max="63" width="27.85546875" bestFit="1" customWidth="1"/>
    <col min="64" max="64" width="74.28515625" bestFit="1" customWidth="1"/>
    <col min="65" max="65" width="33.28515625" bestFit="1" customWidth="1"/>
    <col min="66" max="66" width="56.85546875" bestFit="1" customWidth="1"/>
    <col min="67" max="67" width="67.5703125" bestFit="1" customWidth="1"/>
    <col min="68" max="68" width="49.7109375" bestFit="1" customWidth="1"/>
    <col min="69" max="69" width="42.42578125" bestFit="1" customWidth="1"/>
    <col min="70" max="70" width="47.42578125" bestFit="1" customWidth="1"/>
    <col min="71" max="71" width="40.42578125" bestFit="1" customWidth="1"/>
    <col min="72" max="72" width="35.140625" bestFit="1" customWidth="1"/>
    <col min="73" max="73" width="59.140625" bestFit="1" customWidth="1"/>
    <col min="74" max="74" width="70.7109375" bestFit="1" customWidth="1"/>
    <col min="75" max="75" width="74.7109375" bestFit="1" customWidth="1"/>
    <col min="76" max="76" width="32" bestFit="1" customWidth="1"/>
    <col min="77" max="77" width="59.42578125" bestFit="1" customWidth="1"/>
    <col min="78" max="78" width="57" bestFit="1" customWidth="1"/>
    <col min="79" max="79" width="73.140625" bestFit="1" customWidth="1"/>
    <col min="80" max="80" width="72.85546875" bestFit="1" customWidth="1"/>
    <col min="81" max="81" width="49.28515625" bestFit="1" customWidth="1"/>
    <col min="82" max="82" width="46.5703125" bestFit="1" customWidth="1"/>
    <col min="83" max="83" width="54.28515625" bestFit="1" customWidth="1"/>
    <col min="84" max="84" width="47.7109375" bestFit="1" customWidth="1"/>
    <col min="85" max="85" width="70.28515625" bestFit="1" customWidth="1"/>
    <col min="86" max="86" width="74.7109375" bestFit="1" customWidth="1"/>
    <col min="87" max="87" width="71.7109375" bestFit="1" customWidth="1"/>
    <col min="88" max="88" width="60.85546875" bestFit="1" customWidth="1"/>
    <col min="89" max="89" width="46.28515625" bestFit="1" customWidth="1"/>
    <col min="90" max="90" width="55.42578125" bestFit="1" customWidth="1"/>
    <col min="91" max="91" width="54" bestFit="1" customWidth="1"/>
    <col min="92" max="92" width="52.42578125" bestFit="1" customWidth="1"/>
    <col min="93" max="93" width="46" bestFit="1" customWidth="1"/>
    <col min="94" max="94" width="62" bestFit="1" customWidth="1"/>
    <col min="95" max="95" width="68.5703125" bestFit="1" customWidth="1"/>
    <col min="96" max="96" width="43.5703125" bestFit="1" customWidth="1"/>
    <col min="97" max="97" width="66.42578125" bestFit="1" customWidth="1"/>
    <col min="98" max="98" width="73.140625" bestFit="1" customWidth="1"/>
    <col min="99" max="99" width="56.28515625" bestFit="1" customWidth="1"/>
    <col min="100" max="100" width="76.85546875" bestFit="1" customWidth="1"/>
    <col min="101" max="101" width="55.28515625" bestFit="1" customWidth="1"/>
    <col min="102" max="102" width="69" bestFit="1" customWidth="1"/>
    <col min="103" max="103" width="78.5703125" bestFit="1" customWidth="1"/>
    <col min="104" max="104" width="30.7109375" bestFit="1" customWidth="1"/>
    <col min="105" max="105" width="79.42578125" bestFit="1" customWidth="1"/>
    <col min="106" max="106" width="40.85546875" bestFit="1" customWidth="1"/>
    <col min="107" max="107" width="61" bestFit="1" customWidth="1"/>
    <col min="108" max="108" width="46.5703125" bestFit="1" customWidth="1"/>
    <col min="109" max="109" width="53.5703125" bestFit="1" customWidth="1"/>
    <col min="110" max="110" width="62.28515625" bestFit="1" customWidth="1"/>
    <col min="111" max="111" width="11.28515625" bestFit="1" customWidth="1"/>
  </cols>
  <sheetData>
    <row r="3" spans="1:2" x14ac:dyDescent="0.25">
      <c r="A3" s="31" t="s">
        <v>344</v>
      </c>
      <c r="B3" t="s">
        <v>347</v>
      </c>
    </row>
    <row r="4" spans="1:2" x14ac:dyDescent="0.25">
      <c r="A4" s="32">
        <v>2</v>
      </c>
      <c r="B4" s="34">
        <v>2</v>
      </c>
    </row>
    <row r="5" spans="1:2" x14ac:dyDescent="0.25">
      <c r="A5" s="35" t="s">
        <v>111</v>
      </c>
      <c r="B5" s="34">
        <v>2</v>
      </c>
    </row>
    <row r="6" spans="1:2" x14ac:dyDescent="0.25">
      <c r="A6" s="32">
        <v>2.1</v>
      </c>
      <c r="B6" s="34">
        <v>2.1</v>
      </c>
    </row>
    <row r="7" spans="1:2" x14ac:dyDescent="0.25">
      <c r="A7" s="35" t="s">
        <v>64</v>
      </c>
      <c r="B7" s="34">
        <v>2.1</v>
      </c>
    </row>
    <row r="8" spans="1:2" x14ac:dyDescent="0.25">
      <c r="A8" s="35" t="s">
        <v>76</v>
      </c>
      <c r="B8" s="34">
        <v>2.1</v>
      </c>
    </row>
    <row r="9" spans="1:2" x14ac:dyDescent="0.25">
      <c r="A9" s="32">
        <v>2.2000000000000002</v>
      </c>
      <c r="B9" s="34">
        <v>2.2000000000000002</v>
      </c>
    </row>
    <row r="10" spans="1:2" x14ac:dyDescent="0.25">
      <c r="A10" s="35" t="s">
        <v>75</v>
      </c>
      <c r="B10" s="34">
        <v>2.2000000000000002</v>
      </c>
    </row>
    <row r="11" spans="1:2" x14ac:dyDescent="0.25">
      <c r="A11" s="35" t="s">
        <v>68</v>
      </c>
      <c r="B11" s="34">
        <v>2.2000000000000002</v>
      </c>
    </row>
    <row r="12" spans="1:2" x14ac:dyDescent="0.25">
      <c r="A12" s="32">
        <v>2.2999999999999998</v>
      </c>
      <c r="B12" s="34">
        <v>2.2999999999999998</v>
      </c>
    </row>
    <row r="13" spans="1:2" x14ac:dyDescent="0.25">
      <c r="A13" s="35" t="s">
        <v>69</v>
      </c>
      <c r="B13" s="34">
        <v>2.2999999999999998</v>
      </c>
    </row>
    <row r="14" spans="1:2" x14ac:dyDescent="0.25">
      <c r="A14" s="35" t="s">
        <v>73</v>
      </c>
      <c r="B14" s="34">
        <v>2.2999999999999998</v>
      </c>
    </row>
    <row r="15" spans="1:2" x14ac:dyDescent="0.25">
      <c r="A15" s="32">
        <v>2.5</v>
      </c>
      <c r="B15" s="34">
        <v>2.5</v>
      </c>
    </row>
    <row r="16" spans="1:2" x14ac:dyDescent="0.25">
      <c r="A16" s="35" t="s">
        <v>62</v>
      </c>
      <c r="B16" s="34">
        <v>2.5</v>
      </c>
    </row>
    <row r="17" spans="1:2" x14ac:dyDescent="0.25">
      <c r="A17" s="32">
        <v>2.6</v>
      </c>
      <c r="B17" s="34">
        <v>2.6</v>
      </c>
    </row>
    <row r="18" spans="1:2" x14ac:dyDescent="0.25">
      <c r="A18" s="35" t="s">
        <v>71</v>
      </c>
      <c r="B18" s="34">
        <v>2.6</v>
      </c>
    </row>
    <row r="19" spans="1:2" x14ac:dyDescent="0.25">
      <c r="A19" s="32">
        <v>2.7</v>
      </c>
      <c r="B19" s="34">
        <v>2.7</v>
      </c>
    </row>
    <row r="20" spans="1:2" x14ac:dyDescent="0.25">
      <c r="A20" s="35" t="s">
        <v>66</v>
      </c>
      <c r="B20" s="34">
        <v>2.7</v>
      </c>
    </row>
    <row r="21" spans="1:2" x14ac:dyDescent="0.25">
      <c r="A21" s="32">
        <v>2.8</v>
      </c>
      <c r="B21" s="34">
        <v>2.8</v>
      </c>
    </row>
    <row r="22" spans="1:2" x14ac:dyDescent="0.25">
      <c r="A22" s="35" t="s">
        <v>65</v>
      </c>
      <c r="B22" s="34">
        <v>2.8</v>
      </c>
    </row>
    <row r="23" spans="1:2" x14ac:dyDescent="0.25">
      <c r="A23" s="32">
        <v>2.9</v>
      </c>
      <c r="B23" s="34">
        <v>2.9</v>
      </c>
    </row>
    <row r="24" spans="1:2" x14ac:dyDescent="0.25">
      <c r="A24" s="35" t="s">
        <v>67</v>
      </c>
      <c r="B24" s="34">
        <v>2.9</v>
      </c>
    </row>
    <row r="25" spans="1:2" x14ac:dyDescent="0.25">
      <c r="A25" s="32" t="s">
        <v>348</v>
      </c>
      <c r="B25" s="34"/>
    </row>
    <row r="26" spans="1:2" x14ac:dyDescent="0.25">
      <c r="A26" s="35" t="s">
        <v>61</v>
      </c>
      <c r="B26" s="34"/>
    </row>
    <row r="27" spans="1:2" x14ac:dyDescent="0.25">
      <c r="A27" s="35" t="s">
        <v>105</v>
      </c>
      <c r="B27" s="34"/>
    </row>
    <row r="28" spans="1:2" x14ac:dyDescent="0.25">
      <c r="A28" s="35" t="s">
        <v>84</v>
      </c>
      <c r="B28" s="34"/>
    </row>
    <row r="29" spans="1:2" x14ac:dyDescent="0.25">
      <c r="A29" s="35" t="s">
        <v>104</v>
      </c>
      <c r="B29" s="34"/>
    </row>
    <row r="30" spans="1:2" x14ac:dyDescent="0.25">
      <c r="A30" s="35" t="s">
        <v>95</v>
      </c>
      <c r="B30" s="34"/>
    </row>
    <row r="31" spans="1:2" x14ac:dyDescent="0.25">
      <c r="A31" s="35" t="s">
        <v>51</v>
      </c>
      <c r="B31" s="34"/>
    </row>
    <row r="32" spans="1:2" x14ac:dyDescent="0.25">
      <c r="A32" s="35" t="s">
        <v>77</v>
      </c>
      <c r="B32" s="34"/>
    </row>
    <row r="33" spans="1:2" x14ac:dyDescent="0.25">
      <c r="A33" s="35" t="s">
        <v>78</v>
      </c>
      <c r="B33" s="34"/>
    </row>
    <row r="34" spans="1:2" x14ac:dyDescent="0.25">
      <c r="A34" s="35" t="s">
        <v>98</v>
      </c>
      <c r="B34" s="34"/>
    </row>
    <row r="35" spans="1:2" x14ac:dyDescent="0.25">
      <c r="A35" s="35" t="s">
        <v>44</v>
      </c>
      <c r="B35" s="34"/>
    </row>
    <row r="36" spans="1:2" x14ac:dyDescent="0.25">
      <c r="A36" s="35" t="s">
        <v>25</v>
      </c>
      <c r="B36" s="34"/>
    </row>
    <row r="37" spans="1:2" x14ac:dyDescent="0.25">
      <c r="A37" s="35" t="s">
        <v>83</v>
      </c>
      <c r="B37" s="34"/>
    </row>
    <row r="38" spans="1:2" x14ac:dyDescent="0.25">
      <c r="A38" s="35" t="s">
        <v>110</v>
      </c>
      <c r="B38" s="34"/>
    </row>
    <row r="39" spans="1:2" x14ac:dyDescent="0.25">
      <c r="A39" s="35" t="s">
        <v>94</v>
      </c>
      <c r="B39" s="34"/>
    </row>
    <row r="40" spans="1:2" x14ac:dyDescent="0.25">
      <c r="A40" s="35" t="s">
        <v>49</v>
      </c>
      <c r="B40" s="34"/>
    </row>
    <row r="41" spans="1:2" x14ac:dyDescent="0.25">
      <c r="A41" s="35" t="s">
        <v>80</v>
      </c>
      <c r="B41" s="34"/>
    </row>
    <row r="42" spans="1:2" x14ac:dyDescent="0.25">
      <c r="A42" s="35" t="s">
        <v>101</v>
      </c>
      <c r="B42" s="34"/>
    </row>
    <row r="43" spans="1:2" x14ac:dyDescent="0.25">
      <c r="A43" s="35" t="s">
        <v>103</v>
      </c>
      <c r="B43" s="34"/>
    </row>
    <row r="44" spans="1:2" x14ac:dyDescent="0.25">
      <c r="A44" s="35" t="s">
        <v>60</v>
      </c>
      <c r="B44" s="34"/>
    </row>
    <row r="45" spans="1:2" x14ac:dyDescent="0.25">
      <c r="A45" s="35" t="s">
        <v>100</v>
      </c>
      <c r="B45" s="34"/>
    </row>
    <row r="46" spans="1:2" x14ac:dyDescent="0.25">
      <c r="A46" s="35" t="s">
        <v>46</v>
      </c>
      <c r="B46" s="34"/>
    </row>
    <row r="47" spans="1:2" x14ac:dyDescent="0.25">
      <c r="A47" s="35" t="s">
        <v>112</v>
      </c>
      <c r="B47" s="34"/>
    </row>
    <row r="48" spans="1:2" x14ac:dyDescent="0.25">
      <c r="A48" s="35" t="s">
        <v>53</v>
      </c>
      <c r="B48" s="34"/>
    </row>
    <row r="49" spans="1:2" x14ac:dyDescent="0.25">
      <c r="A49" s="35" t="s">
        <v>50</v>
      </c>
      <c r="B49" s="34"/>
    </row>
    <row r="50" spans="1:2" x14ac:dyDescent="0.25">
      <c r="A50" s="35" t="s">
        <v>87</v>
      </c>
      <c r="B50" s="34"/>
    </row>
    <row r="51" spans="1:2" x14ac:dyDescent="0.25">
      <c r="A51" s="35" t="s">
        <v>107</v>
      </c>
      <c r="B51" s="34"/>
    </row>
    <row r="52" spans="1:2" x14ac:dyDescent="0.25">
      <c r="A52" s="35" t="s">
        <v>48</v>
      </c>
      <c r="B52" s="34"/>
    </row>
    <row r="53" spans="1:2" x14ac:dyDescent="0.25">
      <c r="A53" s="35" t="s">
        <v>59</v>
      </c>
      <c r="B53" s="34"/>
    </row>
    <row r="54" spans="1:2" x14ac:dyDescent="0.25">
      <c r="A54" s="35" t="s">
        <v>52</v>
      </c>
      <c r="B54" s="34"/>
    </row>
    <row r="55" spans="1:2" x14ac:dyDescent="0.25">
      <c r="A55" s="35" t="s">
        <v>79</v>
      </c>
      <c r="B55" s="34"/>
    </row>
    <row r="56" spans="1:2" x14ac:dyDescent="0.25">
      <c r="A56" s="35" t="s">
        <v>57</v>
      </c>
      <c r="B56" s="34"/>
    </row>
    <row r="57" spans="1:2" x14ac:dyDescent="0.25">
      <c r="A57" s="35" t="s">
        <v>43</v>
      </c>
      <c r="B57" s="34"/>
    </row>
    <row r="58" spans="1:2" x14ac:dyDescent="0.25">
      <c r="A58" s="35" t="s">
        <v>106</v>
      </c>
      <c r="B58" s="34"/>
    </row>
    <row r="59" spans="1:2" x14ac:dyDescent="0.25">
      <c r="A59" s="35" t="s">
        <v>99</v>
      </c>
      <c r="B59" s="34"/>
    </row>
    <row r="60" spans="1:2" x14ac:dyDescent="0.25">
      <c r="A60" s="35" t="s">
        <v>45</v>
      </c>
      <c r="B60" s="34"/>
    </row>
    <row r="61" spans="1:2" x14ac:dyDescent="0.25">
      <c r="A61" s="35" t="s">
        <v>90</v>
      </c>
      <c r="B61" s="34"/>
    </row>
    <row r="62" spans="1:2" x14ac:dyDescent="0.25">
      <c r="A62" s="35" t="s">
        <v>33</v>
      </c>
      <c r="B62" s="34"/>
    </row>
    <row r="63" spans="1:2" x14ac:dyDescent="0.25">
      <c r="A63" s="35" t="s">
        <v>56</v>
      </c>
      <c r="B63" s="34"/>
    </row>
    <row r="64" spans="1:2" x14ac:dyDescent="0.25">
      <c r="A64" s="35" t="s">
        <v>86</v>
      </c>
      <c r="B64" s="34"/>
    </row>
    <row r="65" spans="1:2" x14ac:dyDescent="0.25">
      <c r="A65" s="35" t="s">
        <v>88</v>
      </c>
      <c r="B65" s="34"/>
    </row>
    <row r="66" spans="1:2" x14ac:dyDescent="0.25">
      <c r="A66" s="35" t="s">
        <v>54</v>
      </c>
      <c r="B66" s="34"/>
    </row>
    <row r="67" spans="1:2" x14ac:dyDescent="0.25">
      <c r="A67" s="35" t="s">
        <v>55</v>
      </c>
      <c r="B67" s="34"/>
    </row>
    <row r="68" spans="1:2" x14ac:dyDescent="0.25">
      <c r="A68" s="35" t="s">
        <v>97</v>
      </c>
      <c r="B68" s="34"/>
    </row>
    <row r="69" spans="1:2" x14ac:dyDescent="0.25">
      <c r="A69" s="35" t="s">
        <v>92</v>
      </c>
      <c r="B69" s="34"/>
    </row>
    <row r="70" spans="1:2" x14ac:dyDescent="0.25">
      <c r="A70" s="35" t="s">
        <v>93</v>
      </c>
      <c r="B70" s="34"/>
    </row>
    <row r="71" spans="1:2" x14ac:dyDescent="0.25">
      <c r="A71" s="35" t="s">
        <v>47</v>
      </c>
      <c r="B71" s="34"/>
    </row>
    <row r="72" spans="1:2" x14ac:dyDescent="0.25">
      <c r="A72" s="35" t="s">
        <v>108</v>
      </c>
      <c r="B72" s="34"/>
    </row>
    <row r="73" spans="1:2" x14ac:dyDescent="0.25">
      <c r="A73" s="35" t="s">
        <v>58</v>
      </c>
      <c r="B73" s="34"/>
    </row>
    <row r="74" spans="1:2" x14ac:dyDescent="0.25">
      <c r="A74" s="35" t="s">
        <v>109</v>
      </c>
      <c r="B74" s="34"/>
    </row>
    <row r="75" spans="1:2" x14ac:dyDescent="0.25">
      <c r="A75" s="35" t="s">
        <v>91</v>
      </c>
      <c r="B75" s="34"/>
    </row>
    <row r="76" spans="1:2" x14ac:dyDescent="0.25">
      <c r="A76" s="35" t="s">
        <v>96</v>
      </c>
      <c r="B76" s="34"/>
    </row>
    <row r="77" spans="1:2" x14ac:dyDescent="0.25">
      <c r="A77" s="35" t="s">
        <v>89</v>
      </c>
      <c r="B77" s="34"/>
    </row>
    <row r="78" spans="1:2" x14ac:dyDescent="0.25">
      <c r="A78" s="32" t="s">
        <v>345</v>
      </c>
      <c r="B78" s="34">
        <v>2.3916666666666666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CBEB5-2A6E-4E3B-A8BE-DE27F42ED28C}">
  <dimension ref="A3:B109"/>
  <sheetViews>
    <sheetView workbookViewId="0">
      <selection activeCell="B7" sqref="B7"/>
    </sheetView>
  </sheetViews>
  <sheetFormatPr defaultRowHeight="15" x14ac:dyDescent="0.25"/>
  <cols>
    <col min="1" max="1" width="95.7109375" bestFit="1" customWidth="1"/>
    <col min="2" max="2" width="27.7109375" bestFit="1" customWidth="1"/>
  </cols>
  <sheetData>
    <row r="3" spans="1:2" x14ac:dyDescent="0.25">
      <c r="A3" s="31" t="s">
        <v>344</v>
      </c>
      <c r="B3" t="s">
        <v>349</v>
      </c>
    </row>
    <row r="4" spans="1:2" x14ac:dyDescent="0.25">
      <c r="A4" s="32" t="s">
        <v>42</v>
      </c>
      <c r="B4" s="34">
        <v>1220</v>
      </c>
    </row>
    <row r="5" spans="1:2" x14ac:dyDescent="0.25">
      <c r="A5" s="32" t="s">
        <v>31</v>
      </c>
      <c r="B5" s="34">
        <v>640</v>
      </c>
    </row>
    <row r="6" spans="1:2" x14ac:dyDescent="0.25">
      <c r="A6" s="32" t="s">
        <v>35</v>
      </c>
      <c r="B6" s="34">
        <v>510</v>
      </c>
    </row>
    <row r="7" spans="1:2" x14ac:dyDescent="0.25">
      <c r="A7" s="32" t="s">
        <v>13</v>
      </c>
      <c r="B7" s="34">
        <v>1329</v>
      </c>
    </row>
    <row r="8" spans="1:2" x14ac:dyDescent="0.25">
      <c r="A8" s="32" t="s">
        <v>10</v>
      </c>
      <c r="B8" s="34">
        <v>713</v>
      </c>
    </row>
    <row r="9" spans="1:2" x14ac:dyDescent="0.25">
      <c r="A9" s="32" t="s">
        <v>105</v>
      </c>
      <c r="B9" s="34">
        <v>62</v>
      </c>
    </row>
    <row r="10" spans="1:2" x14ac:dyDescent="0.25">
      <c r="A10" s="32" t="s">
        <v>84</v>
      </c>
      <c r="B10" s="34">
        <v>33</v>
      </c>
    </row>
    <row r="11" spans="1:2" x14ac:dyDescent="0.25">
      <c r="A11" s="32" t="s">
        <v>9</v>
      </c>
      <c r="B11" s="34">
        <v>291</v>
      </c>
    </row>
    <row r="12" spans="1:2" x14ac:dyDescent="0.25">
      <c r="A12" s="32" t="s">
        <v>104</v>
      </c>
      <c r="B12" s="34">
        <v>24</v>
      </c>
    </row>
    <row r="13" spans="1:2" x14ac:dyDescent="0.25">
      <c r="A13" s="32" t="s">
        <v>95</v>
      </c>
      <c r="B13" s="34">
        <v>1200</v>
      </c>
    </row>
    <row r="14" spans="1:2" x14ac:dyDescent="0.25">
      <c r="A14" s="32" t="s">
        <v>51</v>
      </c>
      <c r="B14" s="34">
        <v>750</v>
      </c>
    </row>
    <row r="15" spans="1:2" x14ac:dyDescent="0.25">
      <c r="A15" s="32" t="s">
        <v>77</v>
      </c>
      <c r="B15" s="34">
        <v>695</v>
      </c>
    </row>
    <row r="16" spans="1:2" x14ac:dyDescent="0.25">
      <c r="A16" s="32" t="s">
        <v>70</v>
      </c>
      <c r="B16" s="34">
        <v>2393</v>
      </c>
    </row>
    <row r="17" spans="1:2" x14ac:dyDescent="0.25">
      <c r="A17" s="32" t="s">
        <v>69</v>
      </c>
      <c r="B17" s="34">
        <v>1000</v>
      </c>
    </row>
    <row r="18" spans="1:2" x14ac:dyDescent="0.25">
      <c r="A18" s="32" t="s">
        <v>23</v>
      </c>
      <c r="B18" s="34">
        <v>968</v>
      </c>
    </row>
    <row r="19" spans="1:2" x14ac:dyDescent="0.25">
      <c r="A19" s="32" t="s">
        <v>78</v>
      </c>
      <c r="B19" s="34">
        <v>510</v>
      </c>
    </row>
    <row r="20" spans="1:2" x14ac:dyDescent="0.25">
      <c r="A20" s="32" t="s">
        <v>24</v>
      </c>
      <c r="B20" s="34">
        <v>42</v>
      </c>
    </row>
    <row r="21" spans="1:2" x14ac:dyDescent="0.25">
      <c r="A21" s="32" t="s">
        <v>98</v>
      </c>
      <c r="B21" s="34">
        <v>238</v>
      </c>
    </row>
    <row r="22" spans="1:2" x14ac:dyDescent="0.25">
      <c r="A22" s="32" t="s">
        <v>16</v>
      </c>
      <c r="B22" s="34">
        <v>483</v>
      </c>
    </row>
    <row r="23" spans="1:2" x14ac:dyDescent="0.25">
      <c r="A23" s="32" t="s">
        <v>44</v>
      </c>
      <c r="B23" s="34">
        <v>456</v>
      </c>
    </row>
    <row r="24" spans="1:2" x14ac:dyDescent="0.25">
      <c r="A24" s="32" t="s">
        <v>25</v>
      </c>
      <c r="B24" s="34">
        <v>1360</v>
      </c>
    </row>
    <row r="25" spans="1:2" x14ac:dyDescent="0.25">
      <c r="A25" s="32" t="s">
        <v>62</v>
      </c>
      <c r="B25" s="34">
        <v>330</v>
      </c>
    </row>
    <row r="26" spans="1:2" x14ac:dyDescent="0.25">
      <c r="A26" s="32" t="s">
        <v>32</v>
      </c>
      <c r="B26" s="34">
        <v>741</v>
      </c>
    </row>
    <row r="27" spans="1:2" x14ac:dyDescent="0.25">
      <c r="A27" s="32" t="s">
        <v>38</v>
      </c>
      <c r="B27" s="34">
        <v>719</v>
      </c>
    </row>
    <row r="28" spans="1:2" x14ac:dyDescent="0.25">
      <c r="A28" s="32" t="s">
        <v>37</v>
      </c>
      <c r="B28" s="34">
        <v>710</v>
      </c>
    </row>
    <row r="29" spans="1:2" x14ac:dyDescent="0.25">
      <c r="A29" s="32" t="s">
        <v>83</v>
      </c>
      <c r="B29" s="34">
        <v>830</v>
      </c>
    </row>
    <row r="30" spans="1:2" x14ac:dyDescent="0.25">
      <c r="A30" s="32" t="s">
        <v>64</v>
      </c>
      <c r="B30" s="34">
        <v>2585</v>
      </c>
    </row>
    <row r="31" spans="1:2" x14ac:dyDescent="0.25">
      <c r="A31" s="32" t="s">
        <v>110</v>
      </c>
      <c r="B31" s="34">
        <v>354</v>
      </c>
    </row>
    <row r="32" spans="1:2" x14ac:dyDescent="0.25">
      <c r="A32" s="32" t="s">
        <v>94</v>
      </c>
      <c r="B32" s="34">
        <v>800</v>
      </c>
    </row>
    <row r="33" spans="1:2" x14ac:dyDescent="0.25">
      <c r="A33" s="32" t="s">
        <v>49</v>
      </c>
      <c r="B33" s="34">
        <v>595</v>
      </c>
    </row>
    <row r="34" spans="1:2" x14ac:dyDescent="0.25">
      <c r="A34" s="32" t="s">
        <v>80</v>
      </c>
      <c r="B34" s="34">
        <v>220</v>
      </c>
    </row>
    <row r="35" spans="1:2" x14ac:dyDescent="0.25">
      <c r="A35" s="32" t="s">
        <v>75</v>
      </c>
      <c r="B35" s="34">
        <v>846</v>
      </c>
    </row>
    <row r="36" spans="1:2" x14ac:dyDescent="0.25">
      <c r="A36" s="32" t="s">
        <v>101</v>
      </c>
      <c r="B36" s="34">
        <v>794</v>
      </c>
    </row>
    <row r="37" spans="1:2" x14ac:dyDescent="0.25">
      <c r="A37" s="32" t="s">
        <v>103</v>
      </c>
      <c r="B37" s="34">
        <v>1000</v>
      </c>
    </row>
    <row r="38" spans="1:2" x14ac:dyDescent="0.25">
      <c r="A38" s="32" t="s">
        <v>71</v>
      </c>
      <c r="B38" s="34">
        <v>318</v>
      </c>
    </row>
    <row r="39" spans="1:2" x14ac:dyDescent="0.25">
      <c r="A39" s="32" t="s">
        <v>60</v>
      </c>
      <c r="B39" s="34">
        <v>699.5</v>
      </c>
    </row>
    <row r="40" spans="1:2" x14ac:dyDescent="0.25">
      <c r="A40" s="32" t="s">
        <v>19</v>
      </c>
      <c r="B40" s="34">
        <v>352</v>
      </c>
    </row>
    <row r="41" spans="1:2" x14ac:dyDescent="0.25">
      <c r="A41" s="32" t="s">
        <v>68</v>
      </c>
      <c r="B41" s="34">
        <v>824</v>
      </c>
    </row>
    <row r="42" spans="1:2" x14ac:dyDescent="0.25">
      <c r="A42" s="32" t="s">
        <v>100</v>
      </c>
      <c r="B42" s="34">
        <v>504</v>
      </c>
    </row>
    <row r="43" spans="1:2" x14ac:dyDescent="0.25">
      <c r="A43" s="32" t="s">
        <v>46</v>
      </c>
      <c r="B43" s="34">
        <v>450</v>
      </c>
    </row>
    <row r="44" spans="1:2" x14ac:dyDescent="0.25">
      <c r="A44" s="32" t="s">
        <v>82</v>
      </c>
      <c r="B44" s="34">
        <v>941</v>
      </c>
    </row>
    <row r="45" spans="1:2" x14ac:dyDescent="0.25">
      <c r="A45" s="32" t="s">
        <v>112</v>
      </c>
      <c r="B45" s="34">
        <v>151</v>
      </c>
    </row>
    <row r="46" spans="1:2" x14ac:dyDescent="0.25">
      <c r="A46" s="32" t="s">
        <v>53</v>
      </c>
      <c r="B46" s="34">
        <v>301</v>
      </c>
    </row>
    <row r="47" spans="1:2" x14ac:dyDescent="0.25">
      <c r="A47" s="32" t="s">
        <v>50</v>
      </c>
      <c r="B47" s="34">
        <v>645</v>
      </c>
    </row>
    <row r="48" spans="1:2" x14ac:dyDescent="0.25">
      <c r="A48" s="32" t="s">
        <v>87</v>
      </c>
      <c r="B48" s="34">
        <v>263</v>
      </c>
    </row>
    <row r="49" spans="1:2" x14ac:dyDescent="0.25">
      <c r="A49" s="32" t="s">
        <v>107</v>
      </c>
      <c r="B49" s="34">
        <v>620</v>
      </c>
    </row>
    <row r="50" spans="1:2" x14ac:dyDescent="0.25">
      <c r="A50" s="32" t="s">
        <v>48</v>
      </c>
      <c r="B50" s="34">
        <v>1001</v>
      </c>
    </row>
    <row r="51" spans="1:2" x14ac:dyDescent="0.25">
      <c r="A51" s="32" t="s">
        <v>59</v>
      </c>
      <c r="B51" s="34">
        <v>644</v>
      </c>
    </row>
    <row r="52" spans="1:2" x14ac:dyDescent="0.25">
      <c r="A52" s="32" t="s">
        <v>40</v>
      </c>
      <c r="B52" s="34">
        <v>189</v>
      </c>
    </row>
    <row r="53" spans="1:2" x14ac:dyDescent="0.25">
      <c r="A53" s="32" t="s">
        <v>52</v>
      </c>
      <c r="B53" s="34">
        <v>237</v>
      </c>
    </row>
    <row r="54" spans="1:2" x14ac:dyDescent="0.25">
      <c r="A54" s="32" t="s">
        <v>79</v>
      </c>
      <c r="B54" s="34">
        <v>67</v>
      </c>
    </row>
    <row r="55" spans="1:2" x14ac:dyDescent="0.25">
      <c r="A55" s="32" t="s">
        <v>57</v>
      </c>
      <c r="B55" s="34">
        <v>544</v>
      </c>
    </row>
    <row r="56" spans="1:2" x14ac:dyDescent="0.25">
      <c r="A56" s="32" t="s">
        <v>11</v>
      </c>
      <c r="B56" s="34">
        <v>592</v>
      </c>
    </row>
    <row r="57" spans="1:2" x14ac:dyDescent="0.25">
      <c r="A57" s="32" t="s">
        <v>39</v>
      </c>
      <c r="B57" s="34">
        <v>1070</v>
      </c>
    </row>
    <row r="58" spans="1:2" x14ac:dyDescent="0.25">
      <c r="A58" s="32" t="s">
        <v>76</v>
      </c>
      <c r="B58" s="34">
        <v>1418</v>
      </c>
    </row>
    <row r="59" spans="1:2" x14ac:dyDescent="0.25">
      <c r="A59" s="32" t="s">
        <v>29</v>
      </c>
      <c r="B59" s="34">
        <v>227</v>
      </c>
    </row>
    <row r="60" spans="1:2" x14ac:dyDescent="0.25">
      <c r="A60" s="32" t="s">
        <v>34</v>
      </c>
      <c r="B60" s="34">
        <v>197</v>
      </c>
    </row>
    <row r="61" spans="1:2" x14ac:dyDescent="0.25">
      <c r="A61" s="32" t="s">
        <v>27</v>
      </c>
      <c r="B61" s="34">
        <v>500</v>
      </c>
    </row>
    <row r="62" spans="1:2" x14ac:dyDescent="0.25">
      <c r="A62" s="32" t="s">
        <v>14</v>
      </c>
      <c r="B62" s="34">
        <v>200</v>
      </c>
    </row>
    <row r="63" spans="1:2" x14ac:dyDescent="0.25">
      <c r="A63" s="32" t="s">
        <v>85</v>
      </c>
      <c r="B63" s="34">
        <v>317</v>
      </c>
    </row>
    <row r="64" spans="1:2" x14ac:dyDescent="0.25">
      <c r="A64" s="32" t="s">
        <v>66</v>
      </c>
      <c r="B64" s="34">
        <v>355</v>
      </c>
    </row>
    <row r="65" spans="1:2" x14ac:dyDescent="0.25">
      <c r="A65" s="32" t="s">
        <v>102</v>
      </c>
      <c r="B65" s="34">
        <v>948</v>
      </c>
    </row>
    <row r="66" spans="1:2" x14ac:dyDescent="0.25">
      <c r="A66" s="32" t="s">
        <v>72</v>
      </c>
      <c r="B66" s="34">
        <v>940</v>
      </c>
    </row>
    <row r="67" spans="1:2" x14ac:dyDescent="0.25">
      <c r="A67" s="32" t="s">
        <v>28</v>
      </c>
      <c r="B67" s="34">
        <v>2452</v>
      </c>
    </row>
    <row r="68" spans="1:2" x14ac:dyDescent="0.25">
      <c r="A68" s="32" t="s">
        <v>21</v>
      </c>
      <c r="B68" s="34">
        <v>1946</v>
      </c>
    </row>
    <row r="69" spans="1:2" x14ac:dyDescent="0.25">
      <c r="A69" s="32" t="s">
        <v>17</v>
      </c>
      <c r="B69" s="34">
        <v>359</v>
      </c>
    </row>
    <row r="70" spans="1:2" x14ac:dyDescent="0.25">
      <c r="A70" s="32" t="s">
        <v>12</v>
      </c>
      <c r="B70" s="34">
        <v>1526</v>
      </c>
    </row>
    <row r="71" spans="1:2" x14ac:dyDescent="0.25">
      <c r="A71" s="32" t="s">
        <v>43</v>
      </c>
      <c r="B71" s="34">
        <v>1721</v>
      </c>
    </row>
    <row r="72" spans="1:2" x14ac:dyDescent="0.25">
      <c r="A72" s="32" t="s">
        <v>36</v>
      </c>
      <c r="B72" s="34">
        <v>1670</v>
      </c>
    </row>
    <row r="73" spans="1:2" x14ac:dyDescent="0.25">
      <c r="A73" s="32" t="s">
        <v>26</v>
      </c>
      <c r="B73" s="34">
        <v>470</v>
      </c>
    </row>
    <row r="74" spans="1:2" x14ac:dyDescent="0.25">
      <c r="A74" s="32" t="s">
        <v>106</v>
      </c>
      <c r="B74" s="34">
        <v>587</v>
      </c>
    </row>
    <row r="75" spans="1:2" x14ac:dyDescent="0.25">
      <c r="A75" s="32" t="s">
        <v>22</v>
      </c>
      <c r="B75" s="34">
        <v>700</v>
      </c>
    </row>
    <row r="76" spans="1:2" x14ac:dyDescent="0.25">
      <c r="A76" s="32" t="s">
        <v>81</v>
      </c>
      <c r="B76" s="34">
        <v>1010</v>
      </c>
    </row>
    <row r="77" spans="1:2" x14ac:dyDescent="0.25">
      <c r="A77" s="32" t="s">
        <v>5</v>
      </c>
      <c r="B77" s="34">
        <v>472</v>
      </c>
    </row>
    <row r="78" spans="1:2" x14ac:dyDescent="0.25">
      <c r="A78" s="32" t="s">
        <v>99</v>
      </c>
      <c r="B78" s="34">
        <v>153</v>
      </c>
    </row>
    <row r="79" spans="1:2" x14ac:dyDescent="0.25">
      <c r="A79" s="32" t="s">
        <v>45</v>
      </c>
      <c r="B79" s="34">
        <v>238</v>
      </c>
    </row>
    <row r="80" spans="1:2" x14ac:dyDescent="0.25">
      <c r="A80" s="32" t="s">
        <v>18</v>
      </c>
      <c r="B80" s="34">
        <v>819</v>
      </c>
    </row>
    <row r="81" spans="1:2" x14ac:dyDescent="0.25">
      <c r="A81" s="32" t="s">
        <v>90</v>
      </c>
      <c r="B81" s="34">
        <v>470</v>
      </c>
    </row>
    <row r="82" spans="1:2" x14ac:dyDescent="0.25">
      <c r="A82" s="32" t="s">
        <v>33</v>
      </c>
      <c r="B82" s="34">
        <v>1880</v>
      </c>
    </row>
    <row r="83" spans="1:2" x14ac:dyDescent="0.25">
      <c r="A83" s="32" t="s">
        <v>56</v>
      </c>
      <c r="B83" s="34">
        <v>40</v>
      </c>
    </row>
    <row r="84" spans="1:2" x14ac:dyDescent="0.25">
      <c r="A84" s="32" t="s">
        <v>63</v>
      </c>
      <c r="B84" s="34">
        <v>528</v>
      </c>
    </row>
    <row r="85" spans="1:2" x14ac:dyDescent="0.25">
      <c r="A85" s="32" t="s">
        <v>86</v>
      </c>
      <c r="B85" s="34">
        <v>233</v>
      </c>
    </row>
    <row r="86" spans="1:2" x14ac:dyDescent="0.25">
      <c r="A86" s="32" t="s">
        <v>88</v>
      </c>
      <c r="B86" s="34">
        <v>101</v>
      </c>
    </row>
    <row r="87" spans="1:2" x14ac:dyDescent="0.25">
      <c r="A87" s="32" t="s">
        <v>20</v>
      </c>
      <c r="B87" s="34">
        <v>165</v>
      </c>
    </row>
    <row r="88" spans="1:2" x14ac:dyDescent="0.25">
      <c r="A88" s="32" t="s">
        <v>54</v>
      </c>
      <c r="B88" s="34">
        <v>39</v>
      </c>
    </row>
    <row r="89" spans="1:2" x14ac:dyDescent="0.25">
      <c r="A89" s="32" t="s">
        <v>55</v>
      </c>
      <c r="B89" s="34">
        <v>85</v>
      </c>
    </row>
    <row r="90" spans="1:2" x14ac:dyDescent="0.25">
      <c r="A90" s="32" t="s">
        <v>8</v>
      </c>
      <c r="B90" s="34">
        <v>616</v>
      </c>
    </row>
    <row r="91" spans="1:2" x14ac:dyDescent="0.25">
      <c r="A91" s="32" t="s">
        <v>6</v>
      </c>
      <c r="B91" s="34">
        <v>724</v>
      </c>
    </row>
    <row r="92" spans="1:2" x14ac:dyDescent="0.25">
      <c r="A92" s="32" t="s">
        <v>97</v>
      </c>
      <c r="B92" s="34">
        <v>37</v>
      </c>
    </row>
    <row r="93" spans="1:2" x14ac:dyDescent="0.25">
      <c r="A93" s="32" t="s">
        <v>30</v>
      </c>
      <c r="B93" s="34">
        <v>640</v>
      </c>
    </row>
    <row r="94" spans="1:2" x14ac:dyDescent="0.25">
      <c r="A94" s="32" t="s">
        <v>92</v>
      </c>
      <c r="B94" s="34">
        <v>1200</v>
      </c>
    </row>
    <row r="95" spans="1:2" x14ac:dyDescent="0.25">
      <c r="A95" s="32" t="s">
        <v>41</v>
      </c>
      <c r="B95" s="34">
        <v>267</v>
      </c>
    </row>
    <row r="96" spans="1:2" x14ac:dyDescent="0.25">
      <c r="A96" s="32" t="s">
        <v>93</v>
      </c>
      <c r="B96" s="34">
        <v>95</v>
      </c>
    </row>
    <row r="97" spans="1:2" x14ac:dyDescent="0.25">
      <c r="A97" s="32" t="s">
        <v>47</v>
      </c>
      <c r="B97" s="34">
        <v>37</v>
      </c>
    </row>
    <row r="98" spans="1:2" x14ac:dyDescent="0.25">
      <c r="A98" s="32" t="s">
        <v>108</v>
      </c>
      <c r="B98" s="34">
        <v>41</v>
      </c>
    </row>
    <row r="99" spans="1:2" x14ac:dyDescent="0.25">
      <c r="A99" s="32" t="s">
        <v>58</v>
      </c>
      <c r="B99" s="34">
        <v>449</v>
      </c>
    </row>
    <row r="100" spans="1:2" x14ac:dyDescent="0.25">
      <c r="A100" s="32" t="s">
        <v>109</v>
      </c>
      <c r="B100" s="34">
        <v>31</v>
      </c>
    </row>
    <row r="101" spans="1:2" x14ac:dyDescent="0.25">
      <c r="A101" s="32" t="s">
        <v>67</v>
      </c>
      <c r="B101" s="34">
        <v>335</v>
      </c>
    </row>
    <row r="102" spans="1:2" x14ac:dyDescent="0.25">
      <c r="A102" s="32" t="s">
        <v>91</v>
      </c>
      <c r="B102" s="34">
        <v>850</v>
      </c>
    </row>
    <row r="103" spans="1:2" x14ac:dyDescent="0.25">
      <c r="A103" s="32" t="s">
        <v>96</v>
      </c>
      <c r="B103" s="34">
        <v>134</v>
      </c>
    </row>
    <row r="104" spans="1:2" x14ac:dyDescent="0.25">
      <c r="A104" s="32" t="s">
        <v>111</v>
      </c>
      <c r="B104" s="34">
        <v>450</v>
      </c>
    </row>
    <row r="105" spans="1:2" x14ac:dyDescent="0.25">
      <c r="A105" s="32" t="s">
        <v>89</v>
      </c>
      <c r="B105" s="34">
        <v>231</v>
      </c>
    </row>
    <row r="106" spans="1:2" x14ac:dyDescent="0.25">
      <c r="A106" s="32" t="s">
        <v>73</v>
      </c>
      <c r="B106" s="34">
        <v>257</v>
      </c>
    </row>
    <row r="107" spans="1:2" x14ac:dyDescent="0.25">
      <c r="A107" s="32" t="s">
        <v>7</v>
      </c>
      <c r="B107" s="34">
        <v>919</v>
      </c>
    </row>
    <row r="108" spans="1:2" x14ac:dyDescent="0.25">
      <c r="A108" s="32" t="s">
        <v>74</v>
      </c>
      <c r="B108" s="34">
        <v>390</v>
      </c>
    </row>
    <row r="109" spans="1:2" x14ac:dyDescent="0.25">
      <c r="A109" s="32" t="s">
        <v>345</v>
      </c>
      <c r="B109" s="34">
        <v>626.92592592592598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99EA-B591-4540-BB12-6EFD1BB50F3F}">
  <dimension ref="A3:B14"/>
  <sheetViews>
    <sheetView workbookViewId="0">
      <selection activeCell="B19" sqref="B19"/>
    </sheetView>
  </sheetViews>
  <sheetFormatPr defaultRowHeight="15" x14ac:dyDescent="0.25"/>
  <cols>
    <col min="1" max="1" width="78.140625" bestFit="1" customWidth="1"/>
    <col min="2" max="2" width="14.28515625" bestFit="1" customWidth="1"/>
  </cols>
  <sheetData>
    <row r="3" spans="1:2" x14ac:dyDescent="0.25">
      <c r="A3" s="31" t="s">
        <v>344</v>
      </c>
      <c r="B3" t="s">
        <v>350</v>
      </c>
    </row>
    <row r="4" spans="1:2" x14ac:dyDescent="0.25">
      <c r="A4" s="32" t="s">
        <v>15</v>
      </c>
      <c r="B4" s="34">
        <v>39</v>
      </c>
    </row>
    <row r="5" spans="1:2" x14ac:dyDescent="0.25">
      <c r="A5" s="32" t="s">
        <v>65</v>
      </c>
      <c r="B5" s="34">
        <v>69</v>
      </c>
    </row>
    <row r="6" spans="1:2" x14ac:dyDescent="0.25">
      <c r="A6" s="32" t="s">
        <v>10</v>
      </c>
      <c r="B6" s="34">
        <v>55</v>
      </c>
    </row>
    <row r="7" spans="1:2" x14ac:dyDescent="0.25">
      <c r="A7" s="32" t="s">
        <v>23</v>
      </c>
      <c r="B7" s="34">
        <v>44</v>
      </c>
    </row>
    <row r="8" spans="1:2" x14ac:dyDescent="0.25">
      <c r="A8" s="32" t="s">
        <v>38</v>
      </c>
      <c r="B8" s="34">
        <v>32</v>
      </c>
    </row>
    <row r="9" spans="1:2" x14ac:dyDescent="0.25">
      <c r="A9" s="32" t="s">
        <v>71</v>
      </c>
      <c r="B9" s="34">
        <v>17</v>
      </c>
    </row>
    <row r="10" spans="1:2" x14ac:dyDescent="0.25">
      <c r="A10" s="32" t="s">
        <v>29</v>
      </c>
      <c r="B10" s="34">
        <v>49</v>
      </c>
    </row>
    <row r="11" spans="1:2" x14ac:dyDescent="0.25">
      <c r="A11" s="32" t="s">
        <v>6</v>
      </c>
      <c r="B11" s="34">
        <v>24</v>
      </c>
    </row>
    <row r="12" spans="1:2" x14ac:dyDescent="0.25">
      <c r="A12" s="32" t="s">
        <v>41</v>
      </c>
      <c r="B12" s="34">
        <v>36</v>
      </c>
    </row>
    <row r="13" spans="1:2" x14ac:dyDescent="0.25">
      <c r="A13" s="32" t="s">
        <v>67</v>
      </c>
      <c r="B13" s="34">
        <v>16</v>
      </c>
    </row>
    <row r="14" spans="1:2" x14ac:dyDescent="0.25">
      <c r="A14" s="32" t="s">
        <v>345</v>
      </c>
      <c r="B14" s="34">
        <v>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Dirty_Jumia_Dataset</vt:lpstr>
      <vt:lpstr>Cleaned_Jumia_dataset</vt:lpstr>
      <vt:lpstr>Enriched_Jumia_Dataset</vt:lpstr>
      <vt:lpstr>Dashboard</vt:lpstr>
      <vt:lpstr>Product Perfomance</vt:lpstr>
      <vt:lpstr>Product categories</vt:lpstr>
      <vt:lpstr>Discount vs Reviews</vt:lpstr>
      <vt:lpstr>Rating vs Review</vt:lpstr>
      <vt:lpstr>Top 10 product rankings</vt:lpstr>
      <vt:lpstr>Top 5(Highest rating)</vt:lpstr>
      <vt:lpstr>Least rating</vt:lpstr>
      <vt:lpstr>Top 10(Highest Discount)</vt:lpstr>
      <vt:lpstr>Top 10(Most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SIKUKUU</dc:creator>
  <cp:lastModifiedBy>SIKUKUU</cp:lastModifiedBy>
  <dcterms:created xsi:type="dcterms:W3CDTF">2026-06-09T06:13:14Z</dcterms:created>
  <dcterms:modified xsi:type="dcterms:W3CDTF">2026-06-12T16:36:05Z</dcterms:modified>
</cp:coreProperties>
</file>